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Users\wanho\Documents\kate_gait_subjective\gaitanalysersubjective\app\jsonfiles\excel\stance\"/>
    </mc:Choice>
  </mc:AlternateContent>
  <xr:revisionPtr revIDLastSave="0" documentId="13_ncr:1_{99A18BCB-04EE-4D8B-BCE1-B7F10F17D716}" xr6:coauthVersionLast="47" xr6:coauthVersionMax="47" xr10:uidLastSave="{00000000-0000-0000-0000-000000000000}"/>
  <bookViews>
    <workbookView xWindow="-108" yWindow="-108" windowWidth="23256" windowHeight="12576" activeTab="2" xr2:uid="{00000000-000D-0000-FFFF-FFFF00000000}"/>
  </bookViews>
  <sheets>
    <sheet name="treatments" sheetId="1" r:id="rId1"/>
    <sheet name="kinematic_deviations" sheetId="2" r:id="rId2"/>
    <sheet name="impairments" sheetId="3" r:id="rId3"/>
    <sheet name="table" sheetId="5" r:id="rId4"/>
    <sheet name="Keys" sheetId="4" r:id="rId5"/>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2" i="1" l="1"/>
  <c r="J61" i="1"/>
  <c r="J2" i="1"/>
  <c r="J4" i="1"/>
  <c r="J3"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alcChain>
</file>

<file path=xl/sharedStrings.xml><?xml version="1.0" encoding="utf-8"?>
<sst xmlns="http://schemas.openxmlformats.org/spreadsheetml/2006/main" count="447" uniqueCount="264">
  <si>
    <t>label</t>
  </si>
  <si>
    <t>level</t>
  </si>
  <si>
    <t>strength</t>
  </si>
  <si>
    <t>coordination</t>
  </si>
  <si>
    <t>part</t>
  </si>
  <si>
    <t>whole</t>
  </si>
  <si>
    <t>rom</t>
  </si>
  <si>
    <t>impairment</t>
  </si>
  <si>
    <t>testing</t>
  </si>
  <si>
    <t>treatment</t>
  </si>
  <si>
    <t>physio_movements</t>
  </si>
  <si>
    <t>class</t>
  </si>
  <si>
    <t>["ankle_dorsiflexion"]</t>
  </si>
  <si>
    <t>["eccentric_str"]</t>
  </si>
  <si>
    <t>["coor"]</t>
  </si>
  <si>
    <t>[42]</t>
  </si>
  <si>
    <t>["rom"]</t>
  </si>
  <si>
    <t>["ankle_plantarflexion"]</t>
  </si>
  <si>
    <t>["knee_extension"]</t>
  </si>
  <si>
    <t>["concentric_str"]</t>
  </si>
  <si>
    <t>["knee_flexion"]</t>
  </si>
  <si>
    <t>["hip_extension"]</t>
  </si>
  <si>
    <t>["hip_flexion"]</t>
  </si>
  <si>
    <t>["hip_abduction"]</t>
  </si>
  <si>
    <t>please do not change the name of the sheets</t>
  </si>
  <si>
    <t>concentric_str</t>
  </si>
  <si>
    <t>coor</t>
  </si>
  <si>
    <t>other</t>
  </si>
  <si>
    <t>eccentric_str</t>
  </si>
  <si>
    <t>ankle_plantarflexion</t>
  </si>
  <si>
    <t>ankle_dorsiflexion</t>
  </si>
  <si>
    <t>knee_flexion</t>
  </si>
  <si>
    <t>knee_extension</t>
  </si>
  <si>
    <t>hip_extension</t>
  </si>
  <si>
    <t>hip_flexion</t>
  </si>
  <si>
    <t>hip_abduction</t>
  </si>
  <si>
    <t>all spelling for the following must be exactly correct and must be enclosed by ["…","…"]</t>
  </si>
  <si>
    <t xml:space="preserve">to add, simply append "…[text]", if it is a number, no "…" is required, simply type the number </t>
  </si>
  <si>
    <t xml:space="preserve">Translation into another language, excel sheet will be the basis for the translation process, the logic fields will not be accessible during the translation proccess if it is desired to be done manually, but likely will be done via google translate and have someone validating it. </t>
  </si>
  <si>
    <t xml:space="preserve">Good luck and have fun! </t>
  </si>
  <si>
    <t>At this stage feel free to change the sheet to your liking, even if that means adding fields, it wont affect the process, just treat it as a normal excel sheet, I will change thee code to make it work.</t>
  </si>
  <si>
    <r>
      <rPr>
        <b/>
        <sz val="12"/>
        <color theme="1"/>
        <rFont val="Calibri"/>
        <family val="2"/>
        <scheme val="minor"/>
      </rPr>
      <t xml:space="preserve">Early Stance: </t>
    </r>
    <r>
      <rPr>
        <sz val="12"/>
        <color theme="1"/>
        <rFont val="Calibri"/>
        <family val="2"/>
        <scheme val="minor"/>
      </rPr>
      <t xml:space="preserve">Decreased ankle dorsiflexion at initial contact (heel strike) </t>
    </r>
  </si>
  <si>
    <r>
      <rPr>
        <b/>
        <sz val="12"/>
        <color theme="1"/>
        <rFont val="Calibri"/>
        <family val="2"/>
        <scheme val="minor"/>
      </rPr>
      <t>Mid Stance:</t>
    </r>
    <r>
      <rPr>
        <sz val="12"/>
        <color theme="1"/>
        <rFont val="Calibri"/>
        <family val="2"/>
        <scheme val="minor"/>
      </rPr>
      <t xml:space="preserve"> Decreased ankle dorsiflexion from foot flat to heel off</t>
    </r>
  </si>
  <si>
    <r>
      <rPr>
        <b/>
        <sz val="12"/>
        <color theme="1"/>
        <rFont val="Calibri"/>
        <family val="2"/>
        <scheme val="minor"/>
      </rPr>
      <t xml:space="preserve">Late Stance: </t>
    </r>
    <r>
      <rPr>
        <sz val="12"/>
        <color theme="1"/>
        <rFont val="Calibri"/>
        <family val="2"/>
        <scheme val="minor"/>
      </rPr>
      <t>Decreased ankle plantarflexion from heel off to toe off</t>
    </r>
  </si>
  <si>
    <r>
      <rPr>
        <b/>
        <sz val="12"/>
        <color theme="1"/>
        <rFont val="Calibri"/>
        <family val="2"/>
        <scheme val="minor"/>
      </rPr>
      <t>Early Stance:</t>
    </r>
    <r>
      <rPr>
        <sz val="12"/>
        <color theme="1"/>
        <rFont val="Calibri"/>
        <family val="2"/>
        <scheme val="minor"/>
      </rPr>
      <t xml:space="preserve"> Decreased knee flexion at initial contact to foot flat / hyperextension of knee on initial contact to foot flat</t>
    </r>
  </si>
  <si>
    <r>
      <rPr>
        <b/>
        <sz val="12"/>
        <color theme="1"/>
        <rFont val="Calibri"/>
        <family val="2"/>
        <scheme val="minor"/>
      </rPr>
      <t>Mid Stance:</t>
    </r>
    <r>
      <rPr>
        <sz val="12"/>
        <color theme="1"/>
        <rFont val="Calibri"/>
        <family val="2"/>
        <scheme val="minor"/>
      </rPr>
      <t xml:space="preserve"> Decreased knee extension at foot flat to mid stance</t>
    </r>
  </si>
  <si>
    <r>
      <rPr>
        <b/>
        <sz val="12"/>
        <color theme="1"/>
        <rFont val="Calibri"/>
        <family val="2"/>
        <scheme val="minor"/>
      </rPr>
      <t>Late Stance:</t>
    </r>
    <r>
      <rPr>
        <sz val="12"/>
        <color theme="1"/>
        <rFont val="Calibri"/>
        <family val="2"/>
        <scheme val="minor"/>
      </rPr>
      <t xml:space="preserve"> Knee hyperextension from mid stance to late stance</t>
    </r>
  </si>
  <si>
    <t>Decreased strength in ankle plantarflexors (isometric/eccentric)</t>
  </si>
  <si>
    <t>Inability to coordinate ankle plantarflexors to control rotation of the body over the ankle through stance phase</t>
  </si>
  <si>
    <t>Inability to coordinate knee position from mid stance to late stance</t>
  </si>
  <si>
    <t>Decreased strength ankle plantarflexors (concentric)</t>
  </si>
  <si>
    <t>Inability to rapidly plantarflex ankle from end-stance position</t>
  </si>
  <si>
    <t>Inability to coordinate knee flexion at and after heel strike</t>
  </si>
  <si>
    <t>Decreased strength knee extensors (concentric)</t>
  </si>
  <si>
    <t>Inability to coordinate knee extension with control of ankle rotation</t>
  </si>
  <si>
    <t>Decreased strength hip extensors (concentric, early stance)</t>
  </si>
  <si>
    <t>Decreased strength hip flexors (eccentric, mid to late stance)</t>
  </si>
  <si>
    <t>Decreased strength hip abductors (eccentric, concentric)</t>
  </si>
  <si>
    <t>Inability to coordinate leg extension with controlled weight shift onto stance leg</t>
  </si>
  <si>
    <t>Decreased passive hip extension (contracture, spasticity hip flexors)</t>
  </si>
  <si>
    <t xml:space="preserve">Tardieu scale </t>
  </si>
  <si>
    <t>MMT ankle plantarflexors</t>
  </si>
  <si>
    <t>Assess ability to move body forward over foot in single leg stance, eg, ability to control knee position in stepping</t>
  </si>
  <si>
    <t>Assess ability to rapidly plantarflex ankle (heel raise, single leg heel raise)</t>
  </si>
  <si>
    <t>Assess ability to control knee flexion/extension on landing/heel strike</t>
  </si>
  <si>
    <t>MMT knee extensors</t>
  </si>
  <si>
    <t>Assess ability to maintain knee extension in SLS, eg, whilst stepping</t>
  </si>
  <si>
    <t>MMT hip extensors</t>
  </si>
  <si>
    <t>MMT hip flexors</t>
  </si>
  <si>
    <t>Assess ability to maintain knee and hip extension whilst shifting weight on the leg and stepping</t>
  </si>
  <si>
    <t>MMT of hip abductors</t>
  </si>
  <si>
    <t>MMT hamstrings</t>
  </si>
  <si>
    <t>MMT hip adductors</t>
  </si>
  <si>
    <t>EMG recording in stepping/completing a foot tap</t>
  </si>
  <si>
    <t>Ankle dorsiflexion strengthening in sitting with/without electrical stimulation</t>
  </si>
  <si>
    <t>Part practice of initial contact: ensuring heel strike, maintaining dorsiflexion then lowering forefoot to the floor</t>
  </si>
  <si>
    <t>Whole practice walking: emphasising heel strike at initial contact</t>
  </si>
  <si>
    <t>Whole practice walking: use of footprints/markers for heel contact overground/treadmill</t>
  </si>
  <si>
    <t>Strengthening/part practice: back against wall, move body forwards away from wall by dorsiflexing at ankles – increase body weight on affected leg (eg, scales to monitor)</t>
  </si>
  <si>
    <t>Part practice: step intact leg forward systematically increasing step lengths (again can have back against wall to promote forward translation)–make sure that weight moves forward on affected leg while stepping (can use scales under forefoot only to give feedback on weight translation onto forefoot)</t>
  </si>
  <si>
    <t>Whole practice: walking with visual/auditory cues to increase step length</t>
  </si>
  <si>
    <t>Whole practice: walking on treadmill with visual/auditory cues to increase step length</t>
  </si>
  <si>
    <t>Plantarflexor strengthening in lying against resistance (wall, end of bed, tilt-table preferably with feedback eg scales, pressure monitor)</t>
  </si>
  <si>
    <t>Whole practice: walking training using cueing strategies to increase step length</t>
  </si>
  <si>
    <t>Whole practice: increase speed of walking to promote increased plantarflexor activity for push off</t>
  </si>
  <si>
    <t>Part practice: stepping affected leg forward and landing, flexing knee to target</t>
  </si>
  <si>
    <t>Part practice: stepping intact leg forward (or onto a block) while maintaining knee extension on affected leg</t>
  </si>
  <si>
    <t>Part practice: stepping intact leg forward, ensuring that hip on affected leg moves into extension, use target if necessary</t>
  </si>
  <si>
    <t>Whole practice: walking with auditory cues to increase cadence</t>
  </si>
  <si>
    <t>Part practice: stepping intact leg in different directions eg, out vs. across midline to increase abduction and adduction</t>
  </si>
  <si>
    <t>Part practice: standing with back to wall and stepping intact leg on/off block with target for amount of lateral pelvic shift over stance leg</t>
  </si>
  <si>
    <t>Part practice: standing with back to wall with narrow BOS, step with intact leg on/off block with target for amount of lateral pelvic shift over stance leg</t>
  </si>
  <si>
    <t>Whole practice: walking with visual cues for width of the base of support</t>
  </si>
  <si>
    <t>Knee flexor strengthening with therabands, apply principles of progressive resistance training</t>
  </si>
  <si>
    <t>Hip abduction strengthening in side lying against gravity, apply principles of progressive resistance exercises.</t>
  </si>
  <si>
    <t>Interventions to attempt to lengthen hip flexors using the following principles, positioning, sustained stretching, loading in a lengthened position, note that current evidence do not clearly support interventions to increase muscle length</t>
  </si>
  <si>
    <t>Adapt task specific training to provide additional feedback (verbal, visual, environmental cues)</t>
  </si>
  <si>
    <t>possible_impairments</t>
  </si>
  <si>
    <t xml:space="preserve">Decreased strength in ankle dorsiflexors (concentric) </t>
  </si>
  <si>
    <t>id</t>
  </si>
  <si>
    <t>Knee flexion strengthening exercises with skateboard / gravity eliminated positions</t>
  </si>
  <si>
    <t>[34,37,46]</t>
  </si>
  <si>
    <t>[20,21,22]</t>
  </si>
  <si>
    <t>[33,38]</t>
  </si>
  <si>
    <t>Knee extension strengthening in gravity eliminated position / minimise friction</t>
  </si>
  <si>
    <t>[20,24,23,25]</t>
  </si>
  <si>
    <t>[25,26,27]</t>
  </si>
  <si>
    <t>Hip abduction strengthening in gravity eliminated position; consider using tactile cues for movement targets to provide augmented feedback for successful repetition.</t>
  </si>
  <si>
    <t>Hip adduction strengthening in gravity eliminated position; consider using tactile cues for movement targets to provide augmented feedback for successful repetition.</t>
  </si>
  <si>
    <t>Hip adduction strengthening in side lying against gravity, apply principles of progressive resistance exercises.</t>
  </si>
  <si>
    <t>Electrical stimulation to increase strength of ankle dorsiflexors</t>
  </si>
  <si>
    <t>Electrical stimulation to increase strength of knee flexors</t>
  </si>
  <si>
    <t>Electrical stimulation to increase strength of knee extensors</t>
  </si>
  <si>
    <t>Knee extension strengthening with ankle weight, therabands, leg press or sliding tilt table (apply principles of progressive resistance training)</t>
  </si>
  <si>
    <t>Hip extension strengthening in supine with affected leg over edge of bed</t>
  </si>
  <si>
    <t>[7,8,12,14]</t>
  </si>
  <si>
    <t>[10,11,15,17,25]</t>
  </si>
  <si>
    <t>[33,38,60]</t>
  </si>
  <si>
    <t>Strengthening/part practice: step up onto block with affected leg (forwards or sideways)</t>
  </si>
  <si>
    <t>[47,48,49,61]</t>
  </si>
  <si>
    <t>Hip flexion strengthening with weight of leg, therabands, ankle weights, apply principles of progressive resistance training</t>
  </si>
  <si>
    <t>[63]</t>
  </si>
  <si>
    <t>[29,30,31,23,32]</t>
  </si>
  <si>
    <t>[39,40]</t>
  </si>
  <si>
    <t>[4,9,10]</t>
  </si>
  <si>
    <t>Decreased sensation of the foot/ankle and/or knee</t>
  </si>
  <si>
    <t xml:space="preserve">Early Stance: Decreased ankle dorsiflexion at initial contact (heel strike) </t>
  </si>
  <si>
    <t>Mid Stance: Decreased ankle dorsiflexion from foot flat to heel off</t>
  </si>
  <si>
    <t>Late Stance: Decreased ankle plantarflexion from heel off to toe off</t>
  </si>
  <si>
    <t>Early Stance: Decreased knee flexion at initial contact to foot flat / hyperextension of knee on initial contact to foot flat</t>
  </si>
  <si>
    <t>Mid Stance: Decreased knee extension at foot flat to mid stance</t>
  </si>
  <si>
    <t>Stance: Decreased hip extension from initial contact to late stance phase</t>
  </si>
  <si>
    <t>Late Stance: Increased or decreased hip abduction from mid stance to toe-off</t>
  </si>
  <si>
    <t>Late Stance: Knee hyperextension from mid stance to late stance</t>
  </si>
  <si>
    <t>Knee flexion strengthening exercises with skateboard / gravity eliminated positions_x000D_
_x000D_
Knee flexor strengthening with therabands, apply principles of progressive resistance training_x000D_
_x000D_
Electrical stimulation to increase strength of knee flexors</t>
  </si>
  <si>
    <t>Electrical stimulation to increase strength of knee extensors_x000D_
_x000D_
Knee extension strengthening with ankle weight, therabands, leg press or sliding tilt table (apply principles of progressive resistance training)_x000D_
_x000D_
Knee extension strengthening in gravity eliminated position / minimise friction_x000D_
_x000D_
Strengthening/part practice: step up onto block with affected leg (forwards or sideways)</t>
  </si>
  <si>
    <t>Part practice: stepping intact leg in different directions eg, out vs. across midline to increase abduction and adduction_x000D_
_x000D_
Part practice: standing with back to wall and stepping intact leg on/off block with target for amount of lateral pelvic shift over stance leg_x000D_
_x000D_
Part practice: standing with back to wall with narrow BOS, step with intact leg on/off block with target for amount of lateral pelvic shift over stance leg_x000D_
_x000D_
Part practice: stepping intact leg forward (or onto a block) while maintaining knee extension on affected leg_x000D_
_x000D_
Whole practice: walking with visual cues for width of the base of support</t>
  </si>
  <si>
    <t>Hip abduction strengthening in gravity eliminated position; consider using tactile cues for movement targets to provide augmented feedback for successful repetition._x000D_
_x000D_
Hip abduction strengthening in side lying against gravity, apply principles of progressive resistance exercises.</t>
  </si>
  <si>
    <t>[2,3,4,5,23]</t>
  </si>
  <si>
    <t xml:space="preserve">Plantarflexor power training using trampoline, or jumping device </t>
  </si>
  <si>
    <t xml:space="preserve">Decreased strength hip adductors (early to mid stance) </t>
  </si>
  <si>
    <t>[20,21,22,24,23,25]</t>
  </si>
  <si>
    <t>[2,45]</t>
  </si>
  <si>
    <t>Ankle dorsiflexion strengthening in sitting with/without electrical stimulation_x000D_
_x000D_
Electrical stimulation to increase strength of ankle dorsiflexors</t>
  </si>
  <si>
    <t>Inability to coordinate ankle dorsiflexion with knee flexion to extension in swing phase prior to heel strike (eg, inabilility to contract dorsiflexors quickly or maintain dorsiflexion as knee is extended)</t>
  </si>
  <si>
    <t>Decreased passive ankle dorsiflexion (stiffness/contracture, spasticity ankle plantarflexors: soleus vs gastrocnemius)</t>
  </si>
  <si>
    <t>In sitting: Active dorsiflexion Y/N? Knee flexed.  Knee extended</t>
  </si>
  <si>
    <t>[4,5,58]</t>
  </si>
  <si>
    <t>Test DF with knee flexed moving into extension - can they maintain dorsiflexion as knee extends? OR  Test in standing with other leg on block and attempt fast swing phase with hip flexion and knee extention - able to maintain ankle dorsiflexion?</t>
  </si>
  <si>
    <t>Subjective perception of sensation. If sensory difference suspected then complete a proprioception test / sensation test, eg, Nottingham</t>
  </si>
  <si>
    <t>Increased ankle plantarflexor muscle activity during swing or at heel strike/ early stance.</t>
  </si>
  <si>
    <t>Heel tap onto a marker or block emphasising a heel strike. TOP TIP: Need to practice in a safe supported environment (eg walls, back of chair etc to decrease apprehension)</t>
  </si>
  <si>
    <t xml:space="preserve"> Inability to coordinate ankle plantarflexors to control rotation of the body over the ankle through stance phase</t>
  </si>
  <si>
    <t>Part practice: step intact foot forward, can use scales under affected forefoot (to make sure weight is translated into forefoot and pushing into plantarflexion)</t>
  </si>
  <si>
    <t>Increased ankle plantarflexor muscle activity in early stance preventing dorsiflexion at the ankle causing knee hyperextension and hip flexion</t>
  </si>
  <si>
    <t>Part practice: stepping intact leg from behind affected leg, ensuring that hip on affected leg moves into extension, use external cue.</t>
  </si>
  <si>
    <t>Part practice: stepping intact leg forward and up onto a block to promote hip extension.</t>
  </si>
  <si>
    <t>[4,5,6,7,14,27]</t>
  </si>
  <si>
    <t>Whole practice walking: emphasising heel strike at initial contact_x000D_
_x000D_
Whole practice walking: use of footprints/markers for heel contact overground/treadmill_x000D_
_x000D_
Heel tap onto a marker or block emphasising a heel strike. TOP TIP: Need to practice in a safe supported environment (eg walls, back of chair etc to decrease apprehension)</t>
  </si>
  <si>
    <t>Active training into a lengthened joint position_x000D_
_x000D_
Interventions to attempt to lengthen ankle dorsiflexors using the following principles, positioning, sustained stretching, loading in a lengthened position (note that current evidence does not support interventions to increase muscle length while the person is participating in active rehabilitation).  Serial casting combined with task specific training_x000D_
_x000D_
If severe contracture: consider serial casting (need to add reference Leung et al )</t>
  </si>
  <si>
    <t>Whole practice: walking with visual/auditory cues to increase step length_x000D_
_x000D_
Whole practice: walking on treadmill with visual/auditory cues to increase step length_x000D_
_x000D_
Part practice: step intact foot forward, can use scales under affected forefoot (to make sure weight is translated into forefoot and pushing into plantarflexion)_x000D_
_x000D_
Whole practice: walking training using cueing strategies to increase step length_x000D_
_x000D_
Part practice: stepping intact leg forward, ensuring that hip on affected leg moves into extension, use target if necessary</t>
  </si>
  <si>
    <t>Part practice: stepping intact leg forward, ensuring that hip on affected leg moves into extension, use target if necessary_x000D_
_x000D_
Part practice: stepping intact leg from behind affected leg, ensuring that hip on affected leg moves into extension, use external cue._x000D_
_x000D_
Part practice: stepping intact leg forward and up onto a block to promote hip extension.</t>
  </si>
  <si>
    <t>[6,12,13,16,35,36,43]</t>
  </si>
  <si>
    <t>Part practice: step intact leg forward and up onto block.  (TOP TIP: take care with timing of plantarflexion and ensure affected heel is off the ground prior to the intact foot landing on the block.)</t>
  </si>
  <si>
    <t xml:space="preserve">Plantarflexor strengthening in gravity eliminated position (side lying) OR sliding tilt table </t>
  </si>
  <si>
    <t>Plantarflexor strengthening on a sliding tilt table</t>
  </si>
  <si>
    <t>Part practice: plantarflexing in standing, verbal cue to ensure rapid concentric activity.</t>
  </si>
  <si>
    <t>Whole practice: verbal cues regarding the timing of push-off (e.g. the affected heel should be off the ground before the other foot touches the ground).</t>
  </si>
  <si>
    <t>[14,13,16,18,19,59]</t>
  </si>
  <si>
    <t>Decreased strength of knee flexors prior to and immediately after heelstrike (concentric, eccentric)</t>
  </si>
  <si>
    <t xml:space="preserve">Increased  knee extensor muscle activity at  heel strike and early stance </t>
  </si>
  <si>
    <t>[20,23,24]</t>
  </si>
  <si>
    <t>[6,14,15]</t>
  </si>
  <si>
    <t>Hip flexion strengthening in sitting or lying with a focus on the eccentric phase</t>
  </si>
  <si>
    <t>[33,64]</t>
  </si>
  <si>
    <t>[5,6,14,16,17,18,19,23]</t>
  </si>
  <si>
    <t>[65,66]</t>
  </si>
  <si>
    <r>
      <rPr>
        <b/>
        <sz val="12"/>
        <color theme="1"/>
        <rFont val="Calibri"/>
        <family val="2"/>
        <scheme val="minor"/>
      </rPr>
      <t>Early Stance:</t>
    </r>
    <r>
      <rPr>
        <sz val="12"/>
        <color theme="1"/>
        <rFont val="Calibri"/>
        <family val="2"/>
        <scheme val="minor"/>
      </rPr>
      <t xml:space="preserve"> Decreased or increased lateral pelvic shift at initial contact to mid stance</t>
    </r>
  </si>
  <si>
    <t>Part practice: standing with back to wall with intact leg on block, move affected knee forwards (flex) and extend back to wall</t>
  </si>
  <si>
    <t>Whole practice: walking with verbal cues to keep affected knee in flexion,  by translating the knee forward over the foot at heel strike (may need to increase flexion to avoid hyperextension)</t>
  </si>
  <si>
    <t>Early Stance: Decreased or increased lateral pelvic shift at initial contact to mid stance</t>
  </si>
  <si>
    <t>Plantarflexor strengthening in standing on a reverse wedge with back against wall and lower heels down to floor_x000D_
_x000D_
Strengthening/part practice: back against wall, move body forwards away from wall by dorsiflexing at ankles – increase body weight on affected leg (eg, scales to monitor)_x000D_
_x000D_
Plantarflexor strengthening in lying against resistance (wall, end of bed, tilt-table preferably with feedback eg scales, pressure monitor)_x000D_
_x000D_
Part practice: plantarflexing in standing, verbal cue to ensure rapid concentric activity.</t>
  </si>
  <si>
    <t>Soleus strengthinging in sitting - pushing heel off the ground with/without electrical stimulation (make sure not compensating with hip flexors to lift their thigh)_x000D_
_x000D_
Plantarflexor strengthening in lying against resistance (wall, end of bed, tilt-table preferably with feedback eg scales, pressure monitor)_x000D_
_x000D_
Part practice: standing with back to the wall, affected leg on a dorsiflexion wedge and intact leg on a block. Raise heel rapidly._x000D_
_x000D_
Part practice: step intact leg forward and up onto block.  (TOP TIP: take care with timing of plantarflexion and ensure affected heel is off the ground prior to the intact foot landing on the block.)_x000D_
_x000D_
Electrical stimulation to increase strength of plantarflexor muscles +/- mental practice in supine / sitting _x000D_
_x000D_
Plantarflexor strengthening in gravity eliminated position (side lying) OR sliding tilt table _x000D_
_x000D_
Plantarflexor strengthening on a sliding tilt table</t>
  </si>
  <si>
    <t xml:space="preserve">Part practice: plantarflexing in standing, verbal cue to ensure rapid concentric activity._x000D_
_x000D_
Part practice: standing with back to the wall, affected leg on a dorsiflexion wedge and intact leg on a block. Raise heel rapidly._x000D_
_x000D_
Part practice: step intact leg forward and up onto block.  (TOP TIP: take care with timing of plantarflexion and ensure affected heel is off the ground prior to the intact foot landing on the block.)_x000D_
_x000D_
Whole practice: increase speed of walking to promote increased plantarflexor activity for push off_x000D_
_x000D_
Whole practice: verbal cues regarding the timing of push-off (e.g. the affected heel should be off the ground before the other foot touches the ground)._x000D_
_x000D_
Plantarflexor power training using trampoline, or jumping device </t>
  </si>
  <si>
    <t>Part practice: standing with back to wall with intact leg on block, move affected knee forwards (flex) and extend back to wall_x000D_
_x000D_
Part practice: stepping affected leg forward and landing, flexing knee to target_x000D_
_x000D_
Step off block with affected leg to increase amount of ground reaction force on landing, flex knee to target after landing</t>
  </si>
  <si>
    <t>Part practice: standing with back to wall with intact leg on block, move affected knee forwards (flex) and extend back to wall_x000D_
_x000D_
Part practice: stepping intact leg forward (or onto a block) while maintaining knee extension on affected leg_x000D_
_x000D_
Whole practice: walking with verbal cues to keep affected knee in flexion,  by translating the knee forward over the foot at heel strike (may need to increase flexion to avoid hyperextension)</t>
  </si>
  <si>
    <t>Active training into a lengthened joint position_x000D_
_x000D_
Interventions to attempt to lengthen hip flexors using the following principles, positioning, sustained stretching, loading in a lengthened position (note that current evidence do not clearly support interventions to increase muscle length)</t>
  </si>
  <si>
    <t>Hip adduction strengthening in gravity eliminated position; consider using tactile cues for movement targets to provide augmented feedback for successful repetition._x000D_
_x000D_
Hip adduction strengthening in side lying against gravity, apply principles of progressive resistance exercises.</t>
  </si>
  <si>
    <t>Part practice: standing with back to wall with intact leg on block, move affected knee forwards (flex) and extend back to wall_x000D_
_x000D_
Whole practice: walking with verbal cues to keep affected knee in flexion,  by translating the knee forward over the foot at heel strike (may need to increase flexion to avoid hyperextension)_x000D_
_x000D_
Part practice: stepping intact leg forward (or onto a block) while maintaining knee extension on affected leg_x000D_
_x000D_
Part practice: stepping intact leg forward, ensuring that hip on affected leg moves into extension, use target if necessary</t>
  </si>
  <si>
    <t>[58]</t>
  </si>
  <si>
    <r>
      <rPr>
        <b/>
        <sz val="12"/>
        <color theme="1"/>
        <rFont val="Calibri"/>
        <family val="2"/>
        <scheme val="minor"/>
      </rPr>
      <t>Stance:</t>
    </r>
    <r>
      <rPr>
        <sz val="12"/>
        <color theme="1"/>
        <rFont val="Calibri"/>
        <family val="2"/>
        <scheme val="minor"/>
      </rPr>
      <t xml:space="preserve"> Decreased hip extension from initial contact to late stance </t>
    </r>
    <r>
      <rPr>
        <u/>
        <sz val="12"/>
        <color rgb="FFFF0000"/>
        <rFont val="Calibri (Body)"/>
      </rPr>
      <t>phase</t>
    </r>
  </si>
  <si>
    <r>
      <rPr>
        <b/>
        <sz val="12"/>
        <color theme="1"/>
        <rFont val="Calibri"/>
        <family val="2"/>
        <scheme val="minor"/>
      </rPr>
      <t>Late Stance:</t>
    </r>
    <r>
      <rPr>
        <sz val="12"/>
        <color theme="1"/>
        <rFont val="Calibri"/>
        <family val="2"/>
        <scheme val="minor"/>
      </rPr>
      <t xml:space="preserve"> </t>
    </r>
    <r>
      <rPr>
        <sz val="12"/>
        <color rgb="FF92D050"/>
        <rFont val="Calibri (Body)"/>
      </rPr>
      <t>Decreased or increased lateral pelvic shift</t>
    </r>
    <r>
      <rPr>
        <sz val="12"/>
        <color theme="1"/>
        <rFont val="Calibri"/>
        <family val="2"/>
        <scheme val="minor"/>
      </rPr>
      <t xml:space="preserve"> from mid stance to toe-off</t>
    </r>
  </si>
  <si>
    <t xml:space="preserve">STRENGTH: Decreased strength in ankle dorsiflexors (concentric) </t>
  </si>
  <si>
    <t>COORDINATION: Inability to coordinate ankle dorsiflexion with knee flexion to extension in swing phase prior to heel strike (eg, inabilility to contract dorsiflexors quickly or maintain dorsiflexion as knee is extended)</t>
  </si>
  <si>
    <t>SENSATION: Decreased sensation of the foot/ankle and/or knee</t>
  </si>
  <si>
    <t>RANGE OF MOTION: Decreased passive ankle dorsiflexion (stiffness/contracture, spasticity ankle plantarflexors: soleus vs gastrocnemius)</t>
  </si>
  <si>
    <t>STRENGTH: Decreased strength in ankle plantarflexors (isometric/eccentric)</t>
  </si>
  <si>
    <t>COORDINATION: Inability to coordinate ankle plantarflexors to control rotation of the body over the ankle through stance phase</t>
  </si>
  <si>
    <t>COORDINATION: Inability to coordinate knee position from mid stance to late stance</t>
  </si>
  <si>
    <t>STRENGTH: Decreased strength ankle plantarflexors (concentric)</t>
  </si>
  <si>
    <t>POWER: Inability to rapidly plantarflex ankle from end-stance position</t>
  </si>
  <si>
    <t>STRENGTH: Decreased strength knee flexors (concentric)</t>
  </si>
  <si>
    <t>COORDINATION: Inability to coordinate knee flexion at and after heel strike</t>
  </si>
  <si>
    <t>RANGE OF MOTION: Decreased passive knee flexion (contracture, spasticity knee extensors)</t>
  </si>
  <si>
    <t>STRENGTH: Decreased strength knee extensors (concentric)</t>
  </si>
  <si>
    <t>COORDINATION: Inability to coordinate knee extension with control of ankle rotation</t>
  </si>
  <si>
    <t>STRENGTH: Decreased strength hip extensors (concentric, early stance)</t>
  </si>
  <si>
    <t>STRENGTH: Decreased strength hip flexors (eccentric, mid to late stance)</t>
  </si>
  <si>
    <t>COORDINATION: Inability to coordinate leg extension with controlled weight shift onto stance leg</t>
  </si>
  <si>
    <t xml:space="preserve">STRENGTH: Decreased strength hip adductors (early to mid stance) </t>
  </si>
  <si>
    <t>RANGE OF MOTION: Decreased passive hip extension (contracture, spasticity hip flexors)</t>
  </si>
  <si>
    <t xml:space="preserve">EXCESSIVE MUSCLE ACTIVITY: Increased hip flexor muscle activity during stance </t>
  </si>
  <si>
    <t>EXCESSIVE MUSCLE ACTIVITY: Increased ankle plantarflexor muscle activity during swing or at heel strike/ early stance.</t>
  </si>
  <si>
    <r>
      <t xml:space="preserve">EXCESSIVE MUSCLE ACTIVITY: Increased active tension of knee flexor </t>
    </r>
    <r>
      <rPr>
        <sz val="12"/>
        <color rgb="FF92D050"/>
        <rFont val="Calibri (Body)"/>
      </rPr>
      <t xml:space="preserve">muscles </t>
    </r>
    <r>
      <rPr>
        <sz val="12"/>
        <color theme="1"/>
        <rFont val="Calibri"/>
        <family val="2"/>
        <scheme val="minor"/>
      </rPr>
      <t xml:space="preserve">in stance </t>
    </r>
  </si>
  <si>
    <t xml:space="preserve">EXCESSIVE MUSCLE ACTIVITY: Increased knee extensor muscle activity at heel strike and early stance </t>
  </si>
  <si>
    <r>
      <t xml:space="preserve">EXCESSIVE MUSCLE ACTIVITY: Increased ankle plantarflexor muscle activity in early stance preventing </t>
    </r>
    <r>
      <rPr>
        <sz val="12"/>
        <color rgb="FF92D050"/>
        <rFont val="Calibri (Body)"/>
      </rPr>
      <t>rotation into ankle dorsiflexion (causing knee hyperextension and hip flexion)</t>
    </r>
  </si>
  <si>
    <t>Screen if the person is able to DF with knee moving from flexion into extension</t>
  </si>
  <si>
    <t>Screen ability to control rotation of the body over the ankle through stance phase, eg, step and move knee/shank forwards</t>
  </si>
  <si>
    <r>
      <rPr>
        <sz val="12"/>
        <color rgb="FF92D050"/>
        <rFont val="Calibri (Body)"/>
      </rPr>
      <t>Screen</t>
    </r>
    <r>
      <rPr>
        <sz val="12"/>
        <color theme="1"/>
        <rFont val="Calibri"/>
        <family val="2"/>
        <scheme val="minor"/>
      </rPr>
      <t xml:space="preserve"> ability to move body forward over foot in single leg stance, eg, ability to control knee position in stepping</t>
    </r>
  </si>
  <si>
    <r>
      <rPr>
        <sz val="12"/>
        <color rgb="FF92D050"/>
        <rFont val="Calibri (Body)"/>
      </rPr>
      <t>Screen</t>
    </r>
    <r>
      <rPr>
        <sz val="12"/>
        <color theme="1"/>
        <rFont val="Calibri"/>
        <family val="2"/>
        <scheme val="minor"/>
      </rPr>
      <t xml:space="preserve"> ability to control knee flexion/extension on landing/heel strike</t>
    </r>
  </si>
  <si>
    <r>
      <rPr>
        <sz val="12"/>
        <color rgb="FF92D050"/>
        <rFont val="Calibri (Body)"/>
      </rPr>
      <t>Screen</t>
    </r>
    <r>
      <rPr>
        <sz val="12"/>
        <color theme="1"/>
        <rFont val="Calibri"/>
        <family val="2"/>
        <scheme val="minor"/>
      </rPr>
      <t xml:space="preserve"> ability to maintain knee extension in SLS, eg, whilst stepping</t>
    </r>
  </si>
  <si>
    <r>
      <rPr>
        <sz val="12"/>
        <color rgb="FF92D050"/>
        <rFont val="Calibri (Body)"/>
      </rPr>
      <t>Screen</t>
    </r>
    <r>
      <rPr>
        <sz val="12"/>
        <color theme="1"/>
        <rFont val="Calibri"/>
        <family val="2"/>
        <scheme val="minor"/>
      </rPr>
      <t xml:space="preserve"> ability to maintain knee and hip extension whilst shifting weight on the leg and stepping</t>
    </r>
  </si>
  <si>
    <r>
      <t xml:space="preserve">Soleus </t>
    </r>
    <r>
      <rPr>
        <sz val="12"/>
        <color rgb="FF92D050"/>
        <rFont val="Calibri (Body)"/>
      </rPr>
      <t>strengthening</t>
    </r>
    <r>
      <rPr>
        <sz val="12"/>
        <color theme="1"/>
        <rFont val="Calibri"/>
        <family val="2"/>
        <scheme val="minor"/>
      </rPr>
      <t xml:space="preserve"> in sitting - pushing heel off the ground with/without electrical stimulation (make sure not compensating with hip flexors to lift their thigh)</t>
    </r>
  </si>
  <si>
    <t>Part practice: standing with back to the wall, affected leg on a wedge and intact leg on a block. Raise heel rapidly.</t>
  </si>
  <si>
    <r>
      <t xml:space="preserve">Plantarflexor strengthening in standing on </t>
    </r>
    <r>
      <rPr>
        <sz val="12"/>
        <color rgb="FF92D050"/>
        <rFont val="Calibri"/>
        <family val="2"/>
        <scheme val="minor"/>
      </rPr>
      <t>a</t>
    </r>
    <r>
      <rPr>
        <sz val="12"/>
        <color rgb="FF92D050"/>
        <rFont val="Calibri (Body)"/>
      </rPr>
      <t xml:space="preserve"> </t>
    </r>
    <r>
      <rPr>
        <sz val="12"/>
        <color rgb="FF92D050"/>
        <rFont val="Calibri"/>
        <family val="2"/>
        <scheme val="minor"/>
      </rPr>
      <t>wedge with back against wall and lower heels down to floor</t>
    </r>
  </si>
  <si>
    <r>
      <rPr>
        <sz val="12"/>
        <color rgb="FF92D050"/>
        <rFont val="Calibri (Body)"/>
      </rPr>
      <t xml:space="preserve">Part practice: </t>
    </r>
    <r>
      <rPr>
        <sz val="12"/>
        <color theme="1"/>
        <rFont val="Calibri"/>
        <family val="2"/>
        <scheme val="minor"/>
      </rPr>
      <t>Step off block with affected leg to increase amount of ground reaction force on landing, flex knee to target after landing</t>
    </r>
  </si>
  <si>
    <r>
      <t xml:space="preserve">Active training into a lengthened </t>
    </r>
    <r>
      <rPr>
        <sz val="12"/>
        <color rgb="FF92D050"/>
        <rFont val="Calibri (Body)"/>
      </rPr>
      <t>joint/muscle</t>
    </r>
    <r>
      <rPr>
        <sz val="12"/>
        <color theme="1"/>
        <rFont val="Calibri"/>
        <family val="2"/>
        <scheme val="minor"/>
      </rPr>
      <t xml:space="preserve"> position</t>
    </r>
  </si>
  <si>
    <r>
      <t>Electrical stimulation to increase strength of plantarflexor muscles</t>
    </r>
    <r>
      <rPr>
        <u/>
        <sz val="12"/>
        <color rgb="FFFF0000"/>
        <rFont val="Calibri (Body)"/>
      </rPr>
      <t xml:space="preserve"> +/- mental practice in supine / sitting </t>
    </r>
  </si>
  <si>
    <r>
      <t>Interventions to attempt to lengthen ankle dorsiflexors using the following principles, positioning, sustained stretching, loading in a lengthened position (note that current evidence does not support interventions to increase muscle length while the person is participating in active rehabilitation).</t>
    </r>
    <r>
      <rPr>
        <sz val="12"/>
        <color rgb="FF92D050"/>
        <rFont val="Calibri (Body)"/>
      </rPr>
      <t xml:space="preserve">  Serial casting combined with rehabilitation.</t>
    </r>
  </si>
  <si>
    <t>If severe contracture: consider serial casting.</t>
  </si>
  <si>
    <t>Interventions to attempt to lengthen hip flexors using the following principles, positioning, sustained stretching, loading in a lengthened position (note that current evidence do not clearly support interventions to increase muscle length).</t>
  </si>
  <si>
    <t xml:space="preserve">for treatment sheet, all fields should be self explanatory except level and strength , strength has three values, 0, 1 or 2 , 0 is not targeting strength , 1 is concentric  2 is eccentric, level is corresponding to the level of groups ( the 4 groups relating to torque production),, 1 is paralysed, 2 is very weak, 3 is weak 4 is strong  if the treatment is not targeting strength it does not matter what it is. if it feels easier, you can filter out strength . coor treatments /  impairments to organise and make it easier to read. </t>
  </si>
  <si>
    <t>["ankle_dorsiflexion", "ankle_plantarflexion","knee_flexion"]</t>
  </si>
  <si>
    <t>hip_adduction</t>
  </si>
  <si>
    <t>["hip_adduction"]</t>
  </si>
  <si>
    <t>reference</t>
  </si>
  <si>
    <t>image</t>
  </si>
  <si>
    <t>STRENGTH: Decreased strength hip abductors (concentric)</t>
  </si>
  <si>
    <t>STRENGTH: Decreased strength hip abductors (eccentric)</t>
  </si>
  <si>
    <t>STRENGTH: Decreased strength of knee flexors  (eccentric)</t>
  </si>
  <si>
    <t>[12,11,21,26]</t>
  </si>
  <si>
    <t>[18,20,29,24,14,16]</t>
  </si>
  <si>
    <t>[18,20,29]</t>
  </si>
  <si>
    <t>[4,6,8,9,14,16,23]</t>
  </si>
  <si>
    <t>["ankle_plantarflexion","knee_flexion"]</t>
  </si>
  <si>
    <t>["ankle_dorsiflexion","knee_flexion"]</t>
  </si>
  <si>
    <t>["https://app.magicapp.org/#/guideline/Kj2R8j/section/LrwOWn"]</t>
  </si>
  <si>
    <t>["https://app.magicapp.org/#/guideline/Kj2R8j/section/Eglqdj"]</t>
  </si>
  <si>
    <t>[]</t>
  </si>
  <si>
    <t>Hip extensors strengthening against gravity with therabands, apply principles of progressive resistance training</t>
  </si>
  <si>
    <t>Hip extensors strengthening in gravity elimminated positions.</t>
  </si>
  <si>
    <t>["knee_flexion","knee_extension"]</t>
  </si>
  <si>
    <t>[51,67,68]</t>
  </si>
  <si>
    <t>["sensation"]</t>
  </si>
  <si>
    <t>["ex_mus_ac"]</t>
  </si>
  <si>
    <t>MMT ankle DF. Top tip: consider muscle strength with knee flexed and knee extended. Please classify strength level as below based on your assessment.</t>
  </si>
  <si>
    <t>MMT ankle plantarflexors.  Please classify strength level as below based on your assessment.</t>
  </si>
  <si>
    <t>MMT knee flexors.  Please classify strength level as below based on your assessment.</t>
  </si>
  <si>
    <t>MMT knee extensors.  Please classify strength level as below based on your assessment.</t>
  </si>
  <si>
    <t>MMT hip extensors.  Please classify strength level as below based on your assessment.</t>
  </si>
  <si>
    <t>MMT hip flexors.  Please classify strength level as below based on your assessment.</t>
  </si>
  <si>
    <t>MMT of hip abductors.  Please classify strength level as below based on your assessment.</t>
  </si>
  <si>
    <r>
      <t xml:space="preserve">MMT </t>
    </r>
    <r>
      <rPr>
        <sz val="12"/>
        <color rgb="FF92D050"/>
        <rFont val="Calibri (Body)"/>
      </rPr>
      <t>knee flexors</t>
    </r>
    <r>
      <rPr>
        <sz val="12"/>
        <color theme="1"/>
        <rFont val="Calibri"/>
        <family val="2"/>
        <scheme val="minor"/>
      </rPr>
      <t>.  Please classify strength level as below based on your assessment.</t>
    </r>
  </si>
  <si>
    <t>MMT hip adductors.  Please classify strength level as below based on your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</si>
</sst>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u/>
      <sz val="12"/>
      <color rgb="FFFF0000"/>
      <name val="Calibri (Body)"/>
    </font>
    <font>
      <sz val="12"/>
      <color rgb="FF92D050"/>
      <name val="Calibri (Body)"/>
    </font>
    <font>
      <sz val="12"/>
      <color rgb="FF92D05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0" fillId="0" borderId="0" xfId="0" applyAlignment="1">
      <alignment vertical="top" wrapText="1"/>
    </xf>
    <xf numFmtId="0" fontId="4" fillId="0" borderId="0" xfId="0" applyFont="1"/>
    <xf numFmtId="0" fontId="3" fillId="0" borderId="0" xfId="0" applyFont="1"/>
    <xf numFmtId="0" fontId="0" fillId="3" borderId="0" xfId="0" applyFill="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5</xdr:col>
      <xdr:colOff>14242</xdr:colOff>
      <xdr:row>0</xdr:row>
      <xdr:rowOff>7122</xdr:rowOff>
    </xdr:from>
    <xdr:to>
      <xdr:col>7</xdr:col>
      <xdr:colOff>21364</xdr:colOff>
      <xdr:row>1</xdr:row>
      <xdr:rowOff>14243</xdr:rowOff>
    </xdr:to>
    <xdr:sp macro="[0]!ThisWorkbook.CopyDataFromAnotherSheet" textlink="">
      <xdr:nvSpPr>
        <xdr:cNvPr id="4" name="Rectangle 3">
          <a:extLst>
            <a:ext uri="{FF2B5EF4-FFF2-40B4-BE49-F238E27FC236}">
              <a16:creationId xmlns:a16="http://schemas.microsoft.com/office/drawing/2014/main" id="{B7629BF1-A056-403F-A5C8-C77246F8733C}"/>
            </a:ext>
          </a:extLst>
        </xdr:cNvPr>
        <xdr:cNvSpPr/>
      </xdr:nvSpPr>
      <xdr:spPr>
        <a:xfrm>
          <a:off x="9122635" y="7122"/>
          <a:ext cx="1345963" cy="206523"/>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100"/>
            <a:t>execute macro</a:t>
          </a:r>
        </a:p>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zoomScaleNormal="100" workbookViewId="0">
      <pane ySplit="1" topLeftCell="A30" activePane="bottomLeft" state="frozen"/>
      <selection pane="bottomLeft" activeCell="B30" sqref="B30"/>
    </sheetView>
  </sheetViews>
  <sheetFormatPr defaultColWidth="8.796875" defaultRowHeight="15.6"/>
  <cols>
    <col min="1" max="1" width="6" customWidth="1"/>
    <col min="2" max="2" width="79.69921875" customWidth="1"/>
  </cols>
  <sheetData>
    <row r="1" spans="1:10">
      <c r="A1" t="s">
        <v>99</v>
      </c>
      <c r="B1" t="s">
        <v>0</v>
      </c>
      <c r="C1" t="s">
        <v>1</v>
      </c>
      <c r="D1" t="s">
        <v>2</v>
      </c>
      <c r="E1" t="s">
        <v>3</v>
      </c>
      <c r="F1" t="s">
        <v>4</v>
      </c>
      <c r="G1" t="s">
        <v>5</v>
      </c>
      <c r="H1" t="s">
        <v>6</v>
      </c>
      <c r="I1" t="s">
        <v>235</v>
      </c>
      <c r="J1" t="s">
        <v>236</v>
      </c>
    </row>
    <row r="2" spans="1:10" s="2" customFormat="1">
      <c r="A2" s="2">
        <v>2</v>
      </c>
      <c r="B2" s="2" t="s">
        <v>74</v>
      </c>
      <c r="C2" s="2">
        <v>1</v>
      </c>
      <c r="D2" s="2">
        <v>0</v>
      </c>
      <c r="E2" s="2" t="b">
        <v>0</v>
      </c>
      <c r="F2" s="2" t="b">
        <v>1</v>
      </c>
      <c r="G2" s="2" t="b">
        <v>0</v>
      </c>
      <c r="H2" s="2" t="b">
        <v>0</v>
      </c>
      <c r="I2" s="2" t="s">
        <v>246</v>
      </c>
      <c r="J2" s="2" t="str">
        <f>CONCATENATE("walking","_","Tx",A2)</f>
        <v>walking_Tx2</v>
      </c>
    </row>
    <row r="3" spans="1:10" s="2" customFormat="1">
      <c r="A3" s="2">
        <v>3</v>
      </c>
      <c r="B3" s="2" t="s">
        <v>75</v>
      </c>
      <c r="C3" s="2">
        <v>3</v>
      </c>
      <c r="D3" s="2">
        <v>0</v>
      </c>
      <c r="E3" s="2" t="b">
        <v>0</v>
      </c>
      <c r="F3" s="2" t="b">
        <v>1</v>
      </c>
      <c r="G3" s="2" t="b">
        <v>0</v>
      </c>
      <c r="H3" s="2" t="b">
        <v>0</v>
      </c>
      <c r="I3" s="2" t="s">
        <v>247</v>
      </c>
      <c r="J3" s="2" t="str">
        <f t="shared" ref="J3:J60" si="0">CONCATENATE("walking","_","Tx",A3)</f>
        <v>walking_Tx3</v>
      </c>
    </row>
    <row r="4" spans="1:10" s="2" customFormat="1">
      <c r="A4" s="2">
        <v>4</v>
      </c>
      <c r="B4" s="2" t="s">
        <v>76</v>
      </c>
      <c r="C4" s="2">
        <v>3</v>
      </c>
      <c r="D4" s="2">
        <v>1</v>
      </c>
      <c r="E4" s="2" t="b">
        <v>0</v>
      </c>
      <c r="F4" s="2" t="b">
        <v>0</v>
      </c>
      <c r="G4" s="2" t="b">
        <v>0</v>
      </c>
      <c r="H4" s="2" t="b">
        <v>0</v>
      </c>
      <c r="I4" s="2" t="s">
        <v>247</v>
      </c>
      <c r="J4" s="2" t="str">
        <f>CONCATENATE("walking","_","Tx",A4)</f>
        <v>walking_Tx4</v>
      </c>
    </row>
    <row r="5" spans="1:10" s="2" customFormat="1">
      <c r="A5" s="2">
        <v>5</v>
      </c>
      <c r="B5" s="2" t="s">
        <v>77</v>
      </c>
      <c r="C5" s="2">
        <v>3</v>
      </c>
      <c r="D5" s="2">
        <v>1</v>
      </c>
      <c r="E5" s="2" t="b">
        <v>0</v>
      </c>
      <c r="F5" s="2" t="b">
        <v>0</v>
      </c>
      <c r="G5" s="2" t="b">
        <v>0</v>
      </c>
      <c r="H5" s="2" t="b">
        <v>0</v>
      </c>
      <c r="I5" s="2" t="s">
        <v>247</v>
      </c>
      <c r="J5" s="2" t="str">
        <f t="shared" si="0"/>
        <v>walking_Tx5</v>
      </c>
    </row>
    <row r="6" spans="1:10" s="2" customFormat="1">
      <c r="A6" s="2">
        <v>6</v>
      </c>
      <c r="B6" s="2" t="s">
        <v>222</v>
      </c>
      <c r="C6" s="2">
        <v>1</v>
      </c>
      <c r="D6" s="2">
        <v>1</v>
      </c>
      <c r="E6" s="2" t="b">
        <v>0</v>
      </c>
      <c r="F6" s="2" t="b">
        <v>1</v>
      </c>
      <c r="G6" s="2" t="b">
        <v>0</v>
      </c>
      <c r="H6" s="2" t="b">
        <v>0</v>
      </c>
      <c r="I6" s="2" t="s">
        <v>246</v>
      </c>
      <c r="J6" s="2" t="str">
        <f t="shared" si="0"/>
        <v>walking_Tx6</v>
      </c>
    </row>
    <row r="7" spans="1:10" s="2" customFormat="1">
      <c r="A7" s="2">
        <v>7</v>
      </c>
      <c r="B7" s="2" t="s">
        <v>224</v>
      </c>
      <c r="C7" s="2">
        <v>3</v>
      </c>
      <c r="D7" s="2">
        <v>2</v>
      </c>
      <c r="E7" s="2" t="b">
        <v>0</v>
      </c>
      <c r="F7" s="2" t="b">
        <v>1</v>
      </c>
      <c r="G7" s="2" t="b">
        <v>0</v>
      </c>
      <c r="H7" s="2" t="b">
        <v>0</v>
      </c>
      <c r="I7" s="2" t="s">
        <v>246</v>
      </c>
      <c r="J7" s="2" t="str">
        <f t="shared" si="0"/>
        <v>walking_Tx7</v>
      </c>
    </row>
    <row r="8" spans="1:10" s="2" customFormat="1" ht="31.2">
      <c r="A8" s="2">
        <v>8</v>
      </c>
      <c r="B8" s="6" t="s">
        <v>78</v>
      </c>
      <c r="C8" s="2">
        <v>3</v>
      </c>
      <c r="D8" s="2">
        <v>0</v>
      </c>
      <c r="E8" s="2" t="b">
        <v>1</v>
      </c>
      <c r="F8" s="2" t="b">
        <v>1</v>
      </c>
      <c r="G8" s="2" t="b">
        <v>0</v>
      </c>
      <c r="H8" s="2" t="b">
        <v>0</v>
      </c>
      <c r="I8" s="2" t="s">
        <v>247</v>
      </c>
      <c r="J8" s="2" t="str">
        <f t="shared" si="0"/>
        <v>walking_Tx8</v>
      </c>
    </row>
    <row r="9" spans="1:10" s="2" customFormat="1">
      <c r="A9" s="2">
        <v>9</v>
      </c>
      <c r="B9" s="2" t="s">
        <v>79</v>
      </c>
      <c r="C9" s="2">
        <v>3</v>
      </c>
      <c r="D9" s="2">
        <v>0</v>
      </c>
      <c r="E9" s="2" t="b">
        <v>1</v>
      </c>
      <c r="F9" s="2" t="b">
        <v>1</v>
      </c>
      <c r="G9" s="2" t="b">
        <v>0</v>
      </c>
      <c r="H9" s="2" t="b">
        <v>0</v>
      </c>
      <c r="I9" s="2" t="s">
        <v>247</v>
      </c>
      <c r="J9" s="2" t="str">
        <f t="shared" si="0"/>
        <v>walking_Tx9</v>
      </c>
    </row>
    <row r="10" spans="1:10" s="2" customFormat="1">
      <c r="A10" s="2">
        <v>10</v>
      </c>
      <c r="B10" s="2" t="s">
        <v>80</v>
      </c>
      <c r="C10" s="2">
        <v>3</v>
      </c>
      <c r="D10" s="2">
        <v>0</v>
      </c>
      <c r="E10" s="2" t="b">
        <v>1</v>
      </c>
      <c r="F10" s="2" t="b">
        <v>0</v>
      </c>
      <c r="G10" s="2" t="b">
        <v>1</v>
      </c>
      <c r="H10" s="2" t="b">
        <v>0</v>
      </c>
      <c r="I10" s="2" t="s">
        <v>247</v>
      </c>
      <c r="J10" s="2" t="str">
        <f t="shared" si="0"/>
        <v>walking_Tx10</v>
      </c>
    </row>
    <row r="11" spans="1:10" s="2" customFormat="1">
      <c r="A11" s="2">
        <v>11</v>
      </c>
      <c r="B11" s="2" t="s">
        <v>81</v>
      </c>
      <c r="C11" s="2">
        <v>3</v>
      </c>
      <c r="D11" s="2">
        <v>0</v>
      </c>
      <c r="E11" s="2" t="b">
        <v>1</v>
      </c>
      <c r="F11" s="2" t="b">
        <v>0</v>
      </c>
      <c r="G11" s="2" t="b">
        <v>0</v>
      </c>
      <c r="H11" s="2" t="b">
        <v>0</v>
      </c>
      <c r="I11" s="2" t="s">
        <v>247</v>
      </c>
      <c r="J11" s="2" t="str">
        <f t="shared" si="0"/>
        <v>walking_Tx11</v>
      </c>
    </row>
    <row r="12" spans="1:10">
      <c r="A12">
        <v>12</v>
      </c>
      <c r="B12" t="s">
        <v>82</v>
      </c>
      <c r="C12">
        <v>2</v>
      </c>
      <c r="D12">
        <v>1</v>
      </c>
      <c r="E12" t="b">
        <v>0</v>
      </c>
      <c r="F12" t="b">
        <v>1</v>
      </c>
      <c r="G12" t="b">
        <v>0</v>
      </c>
      <c r="H12" t="b">
        <v>0</v>
      </c>
      <c r="I12" s="2" t="s">
        <v>246</v>
      </c>
      <c r="J12" t="str">
        <f t="shared" si="0"/>
        <v>walking_Tx12</v>
      </c>
    </row>
    <row r="13" spans="1:10">
      <c r="A13">
        <v>13</v>
      </c>
      <c r="B13" t="s">
        <v>223</v>
      </c>
      <c r="C13">
        <v>3</v>
      </c>
      <c r="D13">
        <v>1</v>
      </c>
      <c r="E13" t="b">
        <v>1</v>
      </c>
      <c r="F13" t="b">
        <v>1</v>
      </c>
      <c r="G13" t="b">
        <v>0</v>
      </c>
      <c r="H13" t="b">
        <v>0</v>
      </c>
      <c r="I13" s="2" t="s">
        <v>247</v>
      </c>
      <c r="J13" t="str">
        <f t="shared" si="0"/>
        <v>walking_Tx13</v>
      </c>
    </row>
    <row r="14" spans="1:10" s="2" customFormat="1">
      <c r="A14" s="2">
        <v>14</v>
      </c>
      <c r="B14" s="2" t="s">
        <v>166</v>
      </c>
      <c r="C14" s="2">
        <v>3</v>
      </c>
      <c r="D14" s="2">
        <v>1</v>
      </c>
      <c r="E14" s="2" t="b">
        <v>1</v>
      </c>
      <c r="F14" s="2" t="b">
        <v>1</v>
      </c>
      <c r="G14" s="2" t="b">
        <v>0</v>
      </c>
      <c r="H14" s="2" t="b">
        <v>0</v>
      </c>
      <c r="I14" s="2" t="s">
        <v>247</v>
      </c>
      <c r="J14" s="2" t="str">
        <f t="shared" si="0"/>
        <v>walking_Tx14</v>
      </c>
    </row>
    <row r="15" spans="1:10" s="2" customFormat="1">
      <c r="A15" s="2">
        <v>15</v>
      </c>
      <c r="B15" s="2" t="s">
        <v>153</v>
      </c>
      <c r="C15" s="2">
        <v>3</v>
      </c>
      <c r="D15" s="2">
        <v>1</v>
      </c>
      <c r="E15" s="2" t="b">
        <v>0</v>
      </c>
      <c r="F15" s="2" t="b">
        <v>1</v>
      </c>
      <c r="G15" s="2" t="b">
        <v>0</v>
      </c>
      <c r="H15" s="2" t="b">
        <v>0</v>
      </c>
      <c r="I15" s="2" t="s">
        <v>247</v>
      </c>
      <c r="J15" s="2" t="str">
        <f t="shared" si="0"/>
        <v>walking_Tx15</v>
      </c>
    </row>
    <row r="16" spans="1:10" s="2" customFormat="1">
      <c r="A16" s="2">
        <v>16</v>
      </c>
      <c r="B16" s="2" t="s">
        <v>163</v>
      </c>
      <c r="C16" s="2">
        <v>3</v>
      </c>
      <c r="D16" s="2">
        <v>1</v>
      </c>
      <c r="E16" s="2" t="b">
        <v>1</v>
      </c>
      <c r="F16" s="2" t="b">
        <v>1</v>
      </c>
      <c r="G16" s="2" t="b">
        <v>0</v>
      </c>
      <c r="H16" s="2" t="b">
        <v>0</v>
      </c>
      <c r="I16" s="2" t="s">
        <v>247</v>
      </c>
      <c r="J16" s="2" t="str">
        <f t="shared" si="0"/>
        <v>walking_Tx16</v>
      </c>
    </row>
    <row r="17" spans="1:10" s="2" customFormat="1">
      <c r="A17" s="2">
        <v>17</v>
      </c>
      <c r="B17" s="2" t="s">
        <v>83</v>
      </c>
      <c r="C17" s="2">
        <v>3</v>
      </c>
      <c r="D17" s="2">
        <v>0</v>
      </c>
      <c r="E17" s="2" t="b">
        <v>1</v>
      </c>
      <c r="F17" s="2" t="b">
        <v>0</v>
      </c>
      <c r="G17" s="2" t="b">
        <v>0</v>
      </c>
      <c r="H17" s="2" t="b">
        <v>0</v>
      </c>
      <c r="I17" s="2" t="s">
        <v>247</v>
      </c>
      <c r="J17" s="2" t="str">
        <f t="shared" si="0"/>
        <v>walking_Tx17</v>
      </c>
    </row>
    <row r="18" spans="1:10" s="2" customFormat="1">
      <c r="A18" s="2">
        <v>18</v>
      </c>
      <c r="B18" s="2" t="s">
        <v>84</v>
      </c>
      <c r="C18" s="2">
        <v>3</v>
      </c>
      <c r="D18" s="2">
        <v>1</v>
      </c>
      <c r="E18" s="2" t="b">
        <v>0</v>
      </c>
      <c r="F18" s="2" t="b">
        <v>0</v>
      </c>
      <c r="G18" s="2" t="b">
        <v>0</v>
      </c>
      <c r="H18" s="2" t="b">
        <v>0</v>
      </c>
      <c r="I18" s="2" t="s">
        <v>247</v>
      </c>
      <c r="J18" s="2" t="str">
        <f t="shared" si="0"/>
        <v>walking_Tx18</v>
      </c>
    </row>
    <row r="19" spans="1:10" s="2" customFormat="1">
      <c r="A19" s="2">
        <v>19</v>
      </c>
      <c r="B19" s="2" t="s">
        <v>167</v>
      </c>
      <c r="C19" s="2">
        <v>3</v>
      </c>
      <c r="D19" s="2">
        <v>0</v>
      </c>
      <c r="E19" s="2" t="b">
        <v>1</v>
      </c>
      <c r="F19" s="2" t="b">
        <v>0</v>
      </c>
      <c r="G19" s="2" t="b">
        <v>0</v>
      </c>
      <c r="H19" s="2" t="b">
        <v>0</v>
      </c>
      <c r="I19" s="2" t="s">
        <v>247</v>
      </c>
      <c r="J19" s="2" t="str">
        <f t="shared" si="0"/>
        <v>walking_Tx19</v>
      </c>
    </row>
    <row r="20" spans="1:10" s="2" customFormat="1">
      <c r="A20" s="2">
        <v>20</v>
      </c>
      <c r="B20" s="2" t="s">
        <v>178</v>
      </c>
      <c r="C20" s="2">
        <v>2</v>
      </c>
      <c r="D20" s="2">
        <v>0</v>
      </c>
      <c r="E20" s="2" t="b">
        <v>1</v>
      </c>
      <c r="F20" s="2" t="b">
        <v>1</v>
      </c>
      <c r="G20" s="2" t="b">
        <v>0</v>
      </c>
      <c r="H20" s="2" t="b">
        <v>0</v>
      </c>
      <c r="I20" s="2" t="s">
        <v>247</v>
      </c>
      <c r="J20" s="2" t="str">
        <f t="shared" si="0"/>
        <v>walking_Tx20</v>
      </c>
    </row>
    <row r="21" spans="1:10" s="2" customFormat="1">
      <c r="A21" s="2">
        <v>21</v>
      </c>
      <c r="B21" s="2" t="s">
        <v>85</v>
      </c>
      <c r="C21" s="2">
        <v>3</v>
      </c>
      <c r="D21" s="2">
        <v>1</v>
      </c>
      <c r="E21" s="2" t="b">
        <v>1</v>
      </c>
      <c r="F21" s="2" t="b">
        <v>1</v>
      </c>
      <c r="G21" s="2" t="b">
        <v>0</v>
      </c>
      <c r="H21" s="2" t="b">
        <v>0</v>
      </c>
      <c r="I21" s="2" t="s">
        <v>247</v>
      </c>
      <c r="J21" s="2" t="str">
        <f t="shared" si="0"/>
        <v>walking_Tx21</v>
      </c>
    </row>
    <row r="22" spans="1:10" s="2" customFormat="1">
      <c r="A22" s="2">
        <v>22</v>
      </c>
      <c r="B22" s="2" t="s">
        <v>225</v>
      </c>
      <c r="C22" s="2">
        <v>3</v>
      </c>
      <c r="D22" s="2">
        <v>1</v>
      </c>
      <c r="E22" s="2" t="b">
        <v>1</v>
      </c>
      <c r="F22" s="2" t="b">
        <v>1</v>
      </c>
      <c r="G22" s="2" t="b">
        <v>0</v>
      </c>
      <c r="H22" s="2" t="b">
        <v>0</v>
      </c>
      <c r="I22" s="2" t="s">
        <v>247</v>
      </c>
      <c r="J22" s="2" t="str">
        <f t="shared" si="0"/>
        <v>walking_Tx22</v>
      </c>
    </row>
    <row r="23" spans="1:10" s="2" customFormat="1">
      <c r="A23" s="2">
        <v>23</v>
      </c>
      <c r="B23" s="2" t="s">
        <v>86</v>
      </c>
      <c r="C23" s="2">
        <v>2</v>
      </c>
      <c r="D23" s="2">
        <v>1</v>
      </c>
      <c r="E23" s="2" t="b">
        <v>1</v>
      </c>
      <c r="F23" s="2" t="b">
        <v>1</v>
      </c>
      <c r="G23" s="2" t="b">
        <v>0</v>
      </c>
      <c r="H23" s="2" t="b">
        <v>0</v>
      </c>
      <c r="I23" s="2" t="s">
        <v>247</v>
      </c>
      <c r="J23" s="2" t="str">
        <f t="shared" si="0"/>
        <v>walking_Tx23</v>
      </c>
    </row>
    <row r="24" spans="1:10" s="2" customFormat="1">
      <c r="A24" s="2">
        <v>24</v>
      </c>
      <c r="B24" s="2" t="s">
        <v>179</v>
      </c>
      <c r="C24" s="2">
        <v>3</v>
      </c>
      <c r="D24" s="2">
        <v>0</v>
      </c>
      <c r="E24" s="2" t="b">
        <v>1</v>
      </c>
      <c r="F24" s="2" t="b">
        <v>0</v>
      </c>
      <c r="G24" s="2" t="b">
        <v>0</v>
      </c>
      <c r="H24" s="2" t="b">
        <v>0</v>
      </c>
      <c r="I24" s="2" t="s">
        <v>247</v>
      </c>
      <c r="J24" s="2" t="str">
        <f t="shared" si="0"/>
        <v>walking_Tx24</v>
      </c>
    </row>
    <row r="25" spans="1:10" s="2" customFormat="1">
      <c r="A25" s="2">
        <v>25</v>
      </c>
      <c r="B25" s="2" t="s">
        <v>87</v>
      </c>
      <c r="C25" s="2">
        <v>2</v>
      </c>
      <c r="D25" s="2">
        <v>1</v>
      </c>
      <c r="E25" s="2" t="b">
        <v>0</v>
      </c>
      <c r="F25" s="2" t="b">
        <v>1</v>
      </c>
      <c r="G25" s="2" t="b">
        <v>0</v>
      </c>
      <c r="H25" s="2" t="b">
        <v>0</v>
      </c>
      <c r="I25" s="2" t="s">
        <v>247</v>
      </c>
      <c r="J25" s="2" t="str">
        <f t="shared" si="0"/>
        <v>walking_Tx25</v>
      </c>
    </row>
    <row r="26" spans="1:10" s="2" customFormat="1">
      <c r="A26" s="2">
        <v>26</v>
      </c>
      <c r="B26" s="2" t="s">
        <v>155</v>
      </c>
      <c r="C26" s="2">
        <v>2</v>
      </c>
      <c r="D26" s="2">
        <v>1</v>
      </c>
      <c r="E26" s="2" t="b">
        <v>0</v>
      </c>
      <c r="F26" s="2" t="b">
        <v>1</v>
      </c>
      <c r="G26" s="2" t="b">
        <v>0</v>
      </c>
      <c r="H26" s="2" t="b">
        <v>0</v>
      </c>
      <c r="I26" s="2" t="s">
        <v>247</v>
      </c>
      <c r="J26" s="2" t="str">
        <f t="shared" si="0"/>
        <v>walking_Tx26</v>
      </c>
    </row>
    <row r="27" spans="1:10" s="2" customFormat="1">
      <c r="A27" s="2">
        <v>27</v>
      </c>
      <c r="B27" s="2" t="s">
        <v>156</v>
      </c>
      <c r="C27" s="2">
        <v>2</v>
      </c>
      <c r="D27" s="2">
        <v>1</v>
      </c>
      <c r="E27" s="2" t="b">
        <v>0</v>
      </c>
      <c r="F27" s="2" t="b">
        <v>1</v>
      </c>
      <c r="G27" s="2" t="b">
        <v>0</v>
      </c>
      <c r="H27" s="2" t="b">
        <v>0</v>
      </c>
      <c r="I27" s="2" t="s">
        <v>247</v>
      </c>
      <c r="J27" s="2" t="str">
        <f t="shared" si="0"/>
        <v>walking_Tx27</v>
      </c>
    </row>
    <row r="28" spans="1:10" s="2" customFormat="1">
      <c r="A28" s="2">
        <v>28</v>
      </c>
      <c r="B28" s="2" t="s">
        <v>88</v>
      </c>
      <c r="C28" s="2">
        <v>3</v>
      </c>
      <c r="D28" s="2">
        <v>0</v>
      </c>
      <c r="E28" s="2" t="b">
        <v>1</v>
      </c>
      <c r="F28" s="2" t="b">
        <v>0</v>
      </c>
      <c r="G28" s="2" t="b">
        <v>0</v>
      </c>
      <c r="H28" s="2" t="b">
        <v>0</v>
      </c>
      <c r="I28" s="2" t="s">
        <v>247</v>
      </c>
      <c r="J28" s="2" t="str">
        <f t="shared" si="0"/>
        <v>walking_Tx28</v>
      </c>
    </row>
    <row r="29" spans="1:10" s="2" customFormat="1">
      <c r="A29" s="2">
        <v>29</v>
      </c>
      <c r="B29" s="2" t="s">
        <v>89</v>
      </c>
      <c r="C29" s="2">
        <v>2</v>
      </c>
      <c r="D29" s="2">
        <v>0</v>
      </c>
      <c r="E29" s="2" t="b">
        <v>1</v>
      </c>
      <c r="F29" s="2" t="b">
        <v>0</v>
      </c>
      <c r="G29" s="2" t="b">
        <v>0</v>
      </c>
      <c r="H29" s="2" t="b">
        <v>0</v>
      </c>
      <c r="I29" s="2" t="s">
        <v>247</v>
      </c>
      <c r="J29" s="2" t="str">
        <f t="shared" si="0"/>
        <v>walking_Tx29</v>
      </c>
    </row>
    <row r="30" spans="1:10" s="2" customFormat="1">
      <c r="A30" s="2">
        <v>30</v>
      </c>
      <c r="B30" s="2" t="s">
        <v>90</v>
      </c>
      <c r="C30" s="2">
        <v>2</v>
      </c>
      <c r="D30" s="2">
        <v>0</v>
      </c>
      <c r="E30" s="2" t="b">
        <v>1</v>
      </c>
      <c r="F30" s="2" t="b">
        <v>1</v>
      </c>
      <c r="G30" s="2" t="b">
        <v>0</v>
      </c>
      <c r="H30" s="2" t="b">
        <v>0</v>
      </c>
      <c r="I30" s="2" t="s">
        <v>247</v>
      </c>
      <c r="J30" s="2" t="str">
        <f t="shared" si="0"/>
        <v>walking_Tx30</v>
      </c>
    </row>
    <row r="31" spans="1:10" s="2" customFormat="1">
      <c r="A31" s="2">
        <v>31</v>
      </c>
      <c r="B31" s="2" t="s">
        <v>91</v>
      </c>
      <c r="C31" s="2">
        <v>2</v>
      </c>
      <c r="D31" s="2">
        <v>0</v>
      </c>
      <c r="E31" s="2" t="b">
        <v>1</v>
      </c>
      <c r="F31" s="2" t="b">
        <v>1</v>
      </c>
      <c r="G31" s="2" t="b">
        <v>0</v>
      </c>
      <c r="H31" s="2" t="b">
        <v>0</v>
      </c>
      <c r="I31" s="2" t="s">
        <v>247</v>
      </c>
      <c r="J31" s="2" t="str">
        <f t="shared" si="0"/>
        <v>walking_Tx31</v>
      </c>
    </row>
    <row r="32" spans="1:10" s="2" customFormat="1">
      <c r="A32" s="2">
        <v>32</v>
      </c>
      <c r="B32" s="2" t="s">
        <v>92</v>
      </c>
      <c r="C32" s="2">
        <v>3</v>
      </c>
      <c r="D32" s="2">
        <v>0</v>
      </c>
      <c r="E32" s="2" t="b">
        <v>1</v>
      </c>
      <c r="F32" s="2" t="b">
        <v>0</v>
      </c>
      <c r="G32" s="2" t="b">
        <v>0</v>
      </c>
      <c r="H32" s="2" t="b">
        <v>0</v>
      </c>
      <c r="I32" s="2" t="s">
        <v>247</v>
      </c>
      <c r="J32" s="2" t="str">
        <f t="shared" si="0"/>
        <v>walking_Tx32</v>
      </c>
    </row>
    <row r="33" spans="1:10">
      <c r="A33">
        <v>33</v>
      </c>
      <c r="B33" t="s">
        <v>226</v>
      </c>
      <c r="C33">
        <v>0</v>
      </c>
      <c r="D33">
        <v>0</v>
      </c>
      <c r="E33" t="b">
        <v>0</v>
      </c>
      <c r="F33" t="b">
        <v>1</v>
      </c>
      <c r="G33" t="b">
        <v>0</v>
      </c>
      <c r="H33" t="b">
        <v>1</v>
      </c>
      <c r="I33" s="2" t="s">
        <v>248</v>
      </c>
      <c r="J33" t="str">
        <f t="shared" si="0"/>
        <v>walking_Tx33</v>
      </c>
    </row>
    <row r="34" spans="1:10">
      <c r="A34">
        <v>34</v>
      </c>
      <c r="B34" t="s">
        <v>100</v>
      </c>
      <c r="C34">
        <v>1</v>
      </c>
      <c r="D34">
        <v>1</v>
      </c>
      <c r="E34" t="b">
        <v>0</v>
      </c>
      <c r="F34" t="b">
        <v>1</v>
      </c>
      <c r="G34" t="b">
        <v>0</v>
      </c>
      <c r="H34" t="b">
        <v>0</v>
      </c>
      <c r="I34" s="2" t="s">
        <v>246</v>
      </c>
      <c r="J34" t="str">
        <f t="shared" si="0"/>
        <v>walking_Tx34</v>
      </c>
    </row>
    <row r="35" spans="1:10" s="2" customFormat="1">
      <c r="A35" s="2">
        <v>35</v>
      </c>
      <c r="B35" s="2" t="s">
        <v>227</v>
      </c>
      <c r="C35" s="2">
        <v>1</v>
      </c>
      <c r="D35" s="2">
        <v>1</v>
      </c>
      <c r="E35" s="2" t="b">
        <v>0</v>
      </c>
      <c r="F35" s="2" t="b">
        <v>1</v>
      </c>
      <c r="G35" s="2" t="b">
        <v>0</v>
      </c>
      <c r="H35" s="2" t="b">
        <v>0</v>
      </c>
      <c r="I35" s="2" t="s">
        <v>246</v>
      </c>
      <c r="J35" s="2" t="str">
        <f t="shared" si="0"/>
        <v>walking_Tx35</v>
      </c>
    </row>
    <row r="36" spans="1:10">
      <c r="A36">
        <v>36</v>
      </c>
      <c r="B36" t="s">
        <v>164</v>
      </c>
      <c r="C36">
        <v>1</v>
      </c>
      <c r="D36">
        <v>1</v>
      </c>
      <c r="E36" t="b">
        <v>0</v>
      </c>
      <c r="F36" t="b">
        <v>1</v>
      </c>
      <c r="G36" t="b">
        <v>0</v>
      </c>
      <c r="H36" t="b">
        <v>0</v>
      </c>
      <c r="I36" s="2" t="s">
        <v>246</v>
      </c>
      <c r="J36" t="str">
        <f t="shared" si="0"/>
        <v>walking_Tx36</v>
      </c>
    </row>
    <row r="37" spans="1:10">
      <c r="A37">
        <v>37</v>
      </c>
      <c r="B37" t="s">
        <v>93</v>
      </c>
      <c r="C37">
        <v>2</v>
      </c>
      <c r="D37">
        <v>1</v>
      </c>
      <c r="E37" t="b">
        <v>0</v>
      </c>
      <c r="F37" t="b">
        <v>1</v>
      </c>
      <c r="G37" t="b">
        <v>0</v>
      </c>
      <c r="H37" t="b">
        <v>0</v>
      </c>
      <c r="I37" s="2" t="s">
        <v>246</v>
      </c>
      <c r="J37" t="str">
        <f t="shared" si="0"/>
        <v>walking_Tx37</v>
      </c>
    </row>
    <row r="38" spans="1:10">
      <c r="A38">
        <v>38</v>
      </c>
      <c r="B38" t="s">
        <v>228</v>
      </c>
      <c r="C38">
        <v>0</v>
      </c>
      <c r="D38">
        <v>0</v>
      </c>
      <c r="E38" t="b">
        <v>0</v>
      </c>
      <c r="F38" t="b">
        <v>1</v>
      </c>
      <c r="G38" t="b">
        <v>0</v>
      </c>
      <c r="H38" t="b">
        <v>1</v>
      </c>
      <c r="I38" s="2" t="s">
        <v>248</v>
      </c>
      <c r="J38" t="str">
        <f t="shared" si="0"/>
        <v>walking_Tx38</v>
      </c>
    </row>
    <row r="39" spans="1:10">
      <c r="A39">
        <v>39</v>
      </c>
      <c r="B39" t="s">
        <v>107</v>
      </c>
      <c r="C39">
        <v>1</v>
      </c>
      <c r="D39">
        <v>1</v>
      </c>
      <c r="E39" t="b">
        <v>0</v>
      </c>
      <c r="F39" t="b">
        <v>1</v>
      </c>
      <c r="G39" t="b">
        <v>0</v>
      </c>
      <c r="H39" t="b">
        <v>0</v>
      </c>
      <c r="I39" s="2" t="s">
        <v>246</v>
      </c>
      <c r="J39" t="str">
        <f t="shared" si="0"/>
        <v>walking_Tx39</v>
      </c>
    </row>
    <row r="40" spans="1:10" s="2" customFormat="1">
      <c r="A40" s="2">
        <v>40</v>
      </c>
      <c r="B40" s="2" t="s">
        <v>94</v>
      </c>
      <c r="C40" s="2">
        <v>1</v>
      </c>
      <c r="D40" s="2">
        <v>1</v>
      </c>
      <c r="E40" s="2" t="b">
        <v>0</v>
      </c>
      <c r="F40" s="2" t="b">
        <v>1</v>
      </c>
      <c r="G40" s="2" t="b">
        <v>0</v>
      </c>
      <c r="H40" s="2" t="b">
        <v>0</v>
      </c>
      <c r="I40" s="2" t="s">
        <v>246</v>
      </c>
      <c r="J40" s="2" t="str">
        <f t="shared" si="0"/>
        <v>walking_Tx40</v>
      </c>
    </row>
    <row r="41" spans="1:10">
      <c r="A41">
        <v>41</v>
      </c>
      <c r="B41" t="s">
        <v>95</v>
      </c>
      <c r="C41">
        <v>0</v>
      </c>
      <c r="D41">
        <v>0</v>
      </c>
      <c r="E41" t="b">
        <v>0</v>
      </c>
      <c r="F41" t="b">
        <v>1</v>
      </c>
      <c r="G41" t="b">
        <v>0</v>
      </c>
      <c r="H41" t="b">
        <v>1</v>
      </c>
      <c r="I41" s="2" t="s">
        <v>248</v>
      </c>
      <c r="J41" t="str">
        <f t="shared" si="0"/>
        <v>walking_Tx41</v>
      </c>
    </row>
    <row r="42" spans="1:10">
      <c r="A42">
        <v>42</v>
      </c>
      <c r="B42" t="s">
        <v>96</v>
      </c>
      <c r="C42">
        <v>0</v>
      </c>
      <c r="D42">
        <v>0</v>
      </c>
      <c r="E42" t="b">
        <v>0</v>
      </c>
      <c r="F42" t="b">
        <v>1</v>
      </c>
      <c r="G42" t="b">
        <v>0</v>
      </c>
      <c r="H42" t="b">
        <v>0</v>
      </c>
      <c r="I42" s="2" t="s">
        <v>248</v>
      </c>
      <c r="J42" t="str">
        <f t="shared" si="0"/>
        <v>walking_Tx42</v>
      </c>
    </row>
    <row r="43" spans="1:10">
      <c r="A43">
        <v>43</v>
      </c>
      <c r="B43" t="s">
        <v>165</v>
      </c>
      <c r="C43">
        <v>1</v>
      </c>
      <c r="D43">
        <v>1</v>
      </c>
      <c r="E43" t="b">
        <v>0</v>
      </c>
      <c r="F43" t="b">
        <v>1</v>
      </c>
      <c r="G43" t="b">
        <v>0</v>
      </c>
      <c r="H43" t="b">
        <v>0</v>
      </c>
      <c r="I43" s="2" t="s">
        <v>246</v>
      </c>
      <c r="J43" t="str">
        <f t="shared" si="0"/>
        <v>walking_Tx43</v>
      </c>
    </row>
    <row r="44" spans="1:10" s="2" customFormat="1">
      <c r="A44" s="2">
        <v>45</v>
      </c>
      <c r="B44" s="2" t="s">
        <v>110</v>
      </c>
      <c r="C44" s="2">
        <v>1</v>
      </c>
      <c r="D44" s="2">
        <v>1</v>
      </c>
      <c r="E44" s="2" t="b">
        <v>0</v>
      </c>
      <c r="F44" s="2" t="b">
        <v>1</v>
      </c>
      <c r="G44" s="2" t="b">
        <v>0</v>
      </c>
      <c r="H44" s="2" t="b">
        <v>0</v>
      </c>
      <c r="I44" s="2" t="s">
        <v>246</v>
      </c>
      <c r="J44" s="2" t="str">
        <f t="shared" si="0"/>
        <v>walking_Tx45</v>
      </c>
    </row>
    <row r="45" spans="1:10" s="2" customFormat="1">
      <c r="A45" s="2">
        <v>46</v>
      </c>
      <c r="B45" s="2" t="s">
        <v>111</v>
      </c>
      <c r="C45" s="2">
        <v>1</v>
      </c>
      <c r="D45" s="2">
        <v>1</v>
      </c>
      <c r="E45" s="2" t="b">
        <v>0</v>
      </c>
      <c r="F45" s="2" t="b">
        <v>1</v>
      </c>
      <c r="G45" s="2" t="b">
        <v>0</v>
      </c>
      <c r="H45" s="2" t="b">
        <v>0</v>
      </c>
      <c r="I45" s="2" t="s">
        <v>246</v>
      </c>
      <c r="J45" s="2" t="str">
        <f t="shared" si="0"/>
        <v>walking_Tx46</v>
      </c>
    </row>
    <row r="46" spans="1:10" s="2" customFormat="1">
      <c r="A46" s="2">
        <v>47</v>
      </c>
      <c r="B46" s="2" t="s">
        <v>112</v>
      </c>
      <c r="C46" s="2">
        <v>1</v>
      </c>
      <c r="D46" s="2">
        <v>1</v>
      </c>
      <c r="E46" s="2" t="b">
        <v>0</v>
      </c>
      <c r="F46" s="2" t="b">
        <v>1</v>
      </c>
      <c r="G46" s="2" t="b">
        <v>0</v>
      </c>
      <c r="H46" s="2" t="b">
        <v>0</v>
      </c>
      <c r="I46" s="2" t="s">
        <v>246</v>
      </c>
      <c r="J46" s="2" t="str">
        <f t="shared" si="0"/>
        <v>walking_Tx47</v>
      </c>
    </row>
    <row r="47" spans="1:10" s="2" customFormat="1">
      <c r="A47" s="2">
        <v>48</v>
      </c>
      <c r="B47" s="2" t="s">
        <v>113</v>
      </c>
      <c r="C47" s="2">
        <v>2</v>
      </c>
      <c r="D47" s="2">
        <v>2</v>
      </c>
      <c r="E47" s="2" t="b">
        <v>0</v>
      </c>
      <c r="F47" s="2" t="b">
        <v>1</v>
      </c>
      <c r="G47" s="2" t="b">
        <v>0</v>
      </c>
      <c r="H47" s="2" t="b">
        <v>0</v>
      </c>
      <c r="I47" s="2" t="s">
        <v>246</v>
      </c>
      <c r="J47" s="2" t="str">
        <f t="shared" si="0"/>
        <v>walking_Tx48</v>
      </c>
    </row>
    <row r="48" spans="1:10">
      <c r="A48">
        <v>49</v>
      </c>
      <c r="B48" t="s">
        <v>104</v>
      </c>
      <c r="C48">
        <v>1</v>
      </c>
      <c r="D48">
        <v>2</v>
      </c>
      <c r="E48" t="b">
        <v>0</v>
      </c>
      <c r="F48" t="b">
        <v>1</v>
      </c>
      <c r="G48" t="b">
        <v>0</v>
      </c>
      <c r="H48" t="b">
        <v>0</v>
      </c>
      <c r="I48" s="2" t="s">
        <v>246</v>
      </c>
      <c r="J48" t="str">
        <f t="shared" si="0"/>
        <v>walking_Tx49</v>
      </c>
    </row>
    <row r="49" spans="1:10" s="2" customFormat="1">
      <c r="A49" s="2">
        <v>51</v>
      </c>
      <c r="B49" s="2" t="s">
        <v>114</v>
      </c>
      <c r="C49" s="2">
        <v>1</v>
      </c>
      <c r="D49" s="2">
        <v>2</v>
      </c>
      <c r="E49" s="2" t="b">
        <v>0</v>
      </c>
      <c r="F49" s="2" t="b">
        <v>1</v>
      </c>
      <c r="G49" s="2" t="b">
        <v>0</v>
      </c>
      <c r="H49" s="2" t="b">
        <v>0</v>
      </c>
      <c r="I49" s="2" t="s">
        <v>246</v>
      </c>
      <c r="J49" s="2" t="str">
        <f t="shared" si="0"/>
        <v>walking_Tx51</v>
      </c>
    </row>
    <row r="50" spans="1:10">
      <c r="A50">
        <v>56</v>
      </c>
      <c r="B50" t="s">
        <v>108</v>
      </c>
      <c r="C50">
        <v>1</v>
      </c>
      <c r="D50">
        <v>1</v>
      </c>
      <c r="E50" t="b">
        <v>0</v>
      </c>
      <c r="F50" t="b">
        <v>1</v>
      </c>
      <c r="G50" t="b">
        <v>0</v>
      </c>
      <c r="H50" t="b">
        <v>0</v>
      </c>
      <c r="I50" s="2" t="s">
        <v>246</v>
      </c>
      <c r="J50" t="str">
        <f t="shared" si="0"/>
        <v>walking_Tx56</v>
      </c>
    </row>
    <row r="51" spans="1:10" s="2" customFormat="1">
      <c r="A51" s="2">
        <v>57</v>
      </c>
      <c r="B51" s="2" t="s">
        <v>109</v>
      </c>
      <c r="C51" s="2">
        <v>2</v>
      </c>
      <c r="D51" s="2">
        <v>1</v>
      </c>
      <c r="E51" s="2" t="b">
        <v>0</v>
      </c>
      <c r="F51" s="2" t="b">
        <v>1</v>
      </c>
      <c r="G51" s="2" t="b">
        <v>0</v>
      </c>
      <c r="H51" s="2" t="b">
        <v>0</v>
      </c>
      <c r="I51" s="2" t="s">
        <v>246</v>
      </c>
      <c r="J51" s="2" t="str">
        <f t="shared" si="0"/>
        <v>walking_Tx57</v>
      </c>
    </row>
    <row r="52" spans="1:10" s="2" customFormat="1">
      <c r="A52" s="2">
        <v>58</v>
      </c>
      <c r="B52" s="2" t="s">
        <v>151</v>
      </c>
      <c r="C52" s="2">
        <v>2</v>
      </c>
      <c r="D52" s="2">
        <v>1</v>
      </c>
      <c r="E52" s="2" t="b">
        <v>0</v>
      </c>
      <c r="F52" s="2" t="b">
        <v>1</v>
      </c>
      <c r="G52" s="2" t="b">
        <v>0</v>
      </c>
      <c r="H52" s="2" t="b">
        <v>0</v>
      </c>
      <c r="I52" s="2" t="s">
        <v>246</v>
      </c>
      <c r="J52" s="2" t="str">
        <f t="shared" si="0"/>
        <v>walking_Tx58</v>
      </c>
    </row>
    <row r="53" spans="1:10" s="2" customFormat="1">
      <c r="A53" s="2">
        <v>59</v>
      </c>
      <c r="B53" s="2" t="s">
        <v>139</v>
      </c>
      <c r="C53" s="2">
        <v>3</v>
      </c>
      <c r="D53" s="2">
        <v>1</v>
      </c>
      <c r="E53" s="2" t="b">
        <v>0</v>
      </c>
      <c r="F53" s="2" t="b">
        <v>1</v>
      </c>
      <c r="G53" s="2" t="b">
        <v>0</v>
      </c>
      <c r="H53" s="2" t="b">
        <v>0</v>
      </c>
      <c r="I53" s="2" t="s">
        <v>246</v>
      </c>
      <c r="J53" s="2" t="str">
        <f t="shared" si="0"/>
        <v>walking_Tx59</v>
      </c>
    </row>
    <row r="54" spans="1:10">
      <c r="A54">
        <v>60</v>
      </c>
      <c r="B54" s="5" t="s">
        <v>229</v>
      </c>
      <c r="C54">
        <v>0</v>
      </c>
      <c r="D54">
        <v>0</v>
      </c>
      <c r="E54" t="b">
        <v>0</v>
      </c>
      <c r="F54" t="b">
        <v>1</v>
      </c>
      <c r="G54" t="b">
        <v>0</v>
      </c>
      <c r="H54" t="b">
        <v>0</v>
      </c>
      <c r="I54" s="2" t="s">
        <v>248</v>
      </c>
      <c r="J54" t="str">
        <f t="shared" si="0"/>
        <v>walking_Tx60</v>
      </c>
    </row>
    <row r="55" spans="1:10" s="2" customFormat="1">
      <c r="A55" s="2">
        <v>61</v>
      </c>
      <c r="B55" s="2" t="s">
        <v>118</v>
      </c>
      <c r="C55" s="2">
        <v>3</v>
      </c>
      <c r="D55" s="2">
        <v>1</v>
      </c>
      <c r="E55" s="2" t="b">
        <v>0</v>
      </c>
      <c r="F55" s="2" t="b">
        <v>1</v>
      </c>
      <c r="G55" s="2" t="b">
        <v>0</v>
      </c>
      <c r="H55" s="2" t="b">
        <v>0</v>
      </c>
      <c r="I55" s="2" t="s">
        <v>246</v>
      </c>
      <c r="J55" s="2" t="str">
        <f t="shared" si="0"/>
        <v>walking_Tx61</v>
      </c>
    </row>
    <row r="56" spans="1:10" s="2" customFormat="1">
      <c r="A56" s="2">
        <v>62</v>
      </c>
      <c r="B56" s="2" t="s">
        <v>120</v>
      </c>
      <c r="C56" s="2">
        <v>2</v>
      </c>
      <c r="D56" s="2">
        <v>1</v>
      </c>
      <c r="E56" s="2" t="b">
        <v>0</v>
      </c>
      <c r="F56" s="2" t="b">
        <v>1</v>
      </c>
      <c r="G56" s="2" t="b">
        <v>0</v>
      </c>
      <c r="H56" s="2" t="b">
        <v>0</v>
      </c>
      <c r="I56" s="2" t="s">
        <v>246</v>
      </c>
      <c r="J56" s="2" t="str">
        <f t="shared" si="0"/>
        <v>walking_Tx62</v>
      </c>
    </row>
    <row r="57" spans="1:10">
      <c r="A57">
        <v>63</v>
      </c>
      <c r="B57" t="s">
        <v>173</v>
      </c>
      <c r="C57">
        <v>3</v>
      </c>
      <c r="D57">
        <v>1</v>
      </c>
      <c r="E57" t="b">
        <v>0</v>
      </c>
      <c r="F57" t="b">
        <v>1</v>
      </c>
      <c r="G57" t="b">
        <v>0</v>
      </c>
      <c r="H57" t="b">
        <v>0</v>
      </c>
      <c r="I57" s="2" t="s">
        <v>246</v>
      </c>
      <c r="J57" t="str">
        <f t="shared" si="0"/>
        <v>walking_Tx63</v>
      </c>
    </row>
    <row r="58" spans="1:10">
      <c r="A58">
        <v>64</v>
      </c>
      <c r="B58" t="s">
        <v>230</v>
      </c>
      <c r="C58">
        <v>0</v>
      </c>
      <c r="D58">
        <v>1</v>
      </c>
      <c r="E58" t="b">
        <v>0</v>
      </c>
      <c r="F58" t="b">
        <v>1</v>
      </c>
      <c r="G58" t="b">
        <v>0</v>
      </c>
      <c r="H58" t="b">
        <v>0</v>
      </c>
      <c r="I58" s="2" t="s">
        <v>248</v>
      </c>
      <c r="J58" t="str">
        <f t="shared" si="0"/>
        <v>walking_Tx64</v>
      </c>
    </row>
    <row r="59" spans="1:10">
      <c r="A59">
        <v>65</v>
      </c>
      <c r="B59" t="s">
        <v>108</v>
      </c>
      <c r="C59">
        <v>1</v>
      </c>
      <c r="D59">
        <v>1</v>
      </c>
      <c r="E59" t="b">
        <v>0</v>
      </c>
      <c r="F59" t="b">
        <v>1</v>
      </c>
      <c r="G59" t="b">
        <v>0</v>
      </c>
      <c r="H59" t="b">
        <v>0</v>
      </c>
      <c r="I59" s="2" t="s">
        <v>246</v>
      </c>
      <c r="J59" t="str">
        <f t="shared" si="0"/>
        <v>walking_Tx65</v>
      </c>
    </row>
    <row r="60" spans="1:10" s="2" customFormat="1">
      <c r="A60" s="2">
        <v>66</v>
      </c>
      <c r="B60" s="2" t="s">
        <v>109</v>
      </c>
      <c r="C60" s="2">
        <v>2</v>
      </c>
      <c r="D60" s="2">
        <v>1</v>
      </c>
      <c r="E60" s="2" t="b">
        <v>0</v>
      </c>
      <c r="F60" s="2" t="b">
        <v>1</v>
      </c>
      <c r="G60" s="2" t="b">
        <v>0</v>
      </c>
      <c r="H60" s="2" t="b">
        <v>0</v>
      </c>
      <c r="I60" s="2" t="s">
        <v>246</v>
      </c>
      <c r="J60" s="2" t="str">
        <f t="shared" si="0"/>
        <v>walking_Tx66</v>
      </c>
    </row>
    <row r="61" spans="1:10">
      <c r="A61">
        <v>67</v>
      </c>
      <c r="B61" t="s">
        <v>249</v>
      </c>
      <c r="C61">
        <v>2</v>
      </c>
      <c r="D61">
        <v>1</v>
      </c>
      <c r="E61" t="b">
        <v>0</v>
      </c>
      <c r="F61" t="b">
        <v>1</v>
      </c>
      <c r="G61" t="b">
        <v>0</v>
      </c>
      <c r="H61" t="b">
        <v>0</v>
      </c>
      <c r="I61" s="2" t="s">
        <v>246</v>
      </c>
      <c r="J61" t="str">
        <f t="shared" ref="J61" si="1">CONCATENATE("walking","_","Tx",A61)</f>
        <v>walking_Tx67</v>
      </c>
    </row>
    <row r="62" spans="1:10">
      <c r="A62">
        <v>68</v>
      </c>
      <c r="B62" t="s">
        <v>250</v>
      </c>
      <c r="C62">
        <v>1</v>
      </c>
      <c r="D62">
        <v>1</v>
      </c>
      <c r="E62" t="b">
        <v>0</v>
      </c>
      <c r="F62" t="b">
        <v>1</v>
      </c>
      <c r="G62" t="b">
        <v>0</v>
      </c>
      <c r="H62" t="b">
        <v>0</v>
      </c>
      <c r="I62" s="2" t="s">
        <v>246</v>
      </c>
      <c r="J62" t="str">
        <f t="shared" ref="J62" si="2">CONCATENATE("walking","_","Tx",A62)</f>
        <v>walking_Tx68</v>
      </c>
    </row>
  </sheetData>
  <pageMargins left="0.7" right="0.7" top="0.75" bottom="0.75" header="0.3" footer="0.3"/>
  <ignoredErrors>
    <ignoredError sqref="B1 D8:H8 C12:H13 D9:H11 E22:H22 D18:H20 C26 D24:H24 C33:H39 D28:H32 C1:H1 C41:H42 C5:H5 C2 E2:H2 E3:H3 D4:H4 D6:H6 D7:H7 D16:H16 D40:H40 C15 C14 E14:H14 E15:H15 E17:H17 E21:H21 E23:H23 E25:H25 E26:H26 E27:H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10"/>
  <sheetViews>
    <sheetView workbookViewId="0">
      <selection activeCell="B10" sqref="B10"/>
    </sheetView>
  </sheetViews>
  <sheetFormatPr defaultColWidth="8.796875" defaultRowHeight="15.6"/>
  <cols>
    <col min="2" max="2" width="108.5" customWidth="1"/>
  </cols>
  <sheetData>
    <row r="1" spans="1:3">
      <c r="A1" t="s">
        <v>99</v>
      </c>
      <c r="B1" t="s">
        <v>0</v>
      </c>
      <c r="C1" t="s">
        <v>97</v>
      </c>
    </row>
    <row r="2" spans="1:3">
      <c r="A2">
        <v>2</v>
      </c>
      <c r="B2" t="s">
        <v>41</v>
      </c>
      <c r="C2" t="s">
        <v>138</v>
      </c>
    </row>
    <row r="3" spans="1:3">
      <c r="A3">
        <v>5</v>
      </c>
      <c r="B3" t="s">
        <v>44</v>
      </c>
      <c r="C3" t="s">
        <v>240</v>
      </c>
    </row>
    <row r="4" spans="1:3">
      <c r="A4">
        <v>8</v>
      </c>
      <c r="B4" t="s">
        <v>177</v>
      </c>
      <c r="C4" t="s">
        <v>241</v>
      </c>
    </row>
    <row r="5" spans="1:3">
      <c r="A5">
        <v>3</v>
      </c>
      <c r="B5" t="s">
        <v>42</v>
      </c>
      <c r="C5" t="s">
        <v>157</v>
      </c>
    </row>
    <row r="6" spans="1:3">
      <c r="A6">
        <v>6</v>
      </c>
      <c r="B6" t="s">
        <v>45</v>
      </c>
      <c r="C6" t="s">
        <v>172</v>
      </c>
    </row>
    <row r="7" spans="1:3">
      <c r="A7">
        <v>9</v>
      </c>
      <c r="B7" t="s">
        <v>191</v>
      </c>
      <c r="C7" t="s">
        <v>242</v>
      </c>
    </row>
    <row r="8" spans="1:3">
      <c r="A8">
        <v>10</v>
      </c>
      <c r="B8" t="s">
        <v>46</v>
      </c>
      <c r="C8" t="s">
        <v>243</v>
      </c>
    </row>
    <row r="9" spans="1:3">
      <c r="A9">
        <v>4</v>
      </c>
      <c r="B9" t="s">
        <v>43</v>
      </c>
      <c r="C9" t="s">
        <v>124</v>
      </c>
    </row>
    <row r="10" spans="1:3">
      <c r="A10">
        <v>7</v>
      </c>
      <c r="B10" t="s">
        <v>190</v>
      </c>
      <c r="C10" t="s">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A29"/>
  <sheetViews>
    <sheetView tabSelected="1" workbookViewId="0">
      <selection activeCell="D12" sqref="D12"/>
    </sheetView>
  </sheetViews>
  <sheetFormatPr defaultColWidth="8.796875" defaultRowHeight="15.6"/>
  <cols>
    <col min="2" max="2" width="60.8984375" customWidth="1"/>
    <col min="3" max="3" width="5.69921875" customWidth="1"/>
    <col min="4" max="4" width="54.69921875" customWidth="1"/>
    <col min="5" max="5" width="57.796875" customWidth="1"/>
  </cols>
  <sheetData>
    <row r="1" spans="1:235">
      <c r="A1" t="s">
        <v>99</v>
      </c>
      <c r="B1" t="s">
        <v>7</v>
      </c>
      <c r="C1" t="s">
        <v>9</v>
      </c>
      <c r="D1" t="s">
        <v>8</v>
      </c>
      <c r="E1" t="s">
        <v>10</v>
      </c>
      <c r="F1" t="s">
        <v>11</v>
      </c>
    </row>
    <row r="2" spans="1:235" s="2" customFormat="1">
      <c r="A2">
        <v>2</v>
      </c>
      <c r="B2" t="s">
        <v>192</v>
      </c>
      <c r="C2" t="s">
        <v>142</v>
      </c>
      <c r="D2" s="4" t="s">
        <v>255</v>
      </c>
      <c r="E2" t="s">
        <v>12</v>
      </c>
      <c r="F2" t="s">
        <v>19</v>
      </c>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row>
    <row r="3" spans="1:235" s="2" customFormat="1">
      <c r="A3">
        <v>3</v>
      </c>
      <c r="B3" t="s">
        <v>193</v>
      </c>
      <c r="C3" t="s">
        <v>147</v>
      </c>
      <c r="D3" s="5" t="s">
        <v>216</v>
      </c>
      <c r="E3" t="s">
        <v>245</v>
      </c>
      <c r="F3" t="s">
        <v>14</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row>
    <row r="4" spans="1:235" s="2" customFormat="1">
      <c r="A4">
        <v>4</v>
      </c>
      <c r="B4" t="s">
        <v>194</v>
      </c>
      <c r="C4" t="s">
        <v>15</v>
      </c>
      <c r="D4" t="s">
        <v>149</v>
      </c>
      <c r="E4" t="s">
        <v>232</v>
      </c>
      <c r="F4" t="s">
        <v>253</v>
      </c>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row>
    <row r="5" spans="1:235" s="2" customFormat="1">
      <c r="A5">
        <v>5</v>
      </c>
      <c r="B5" t="s">
        <v>195</v>
      </c>
      <c r="C5" t="s">
        <v>117</v>
      </c>
      <c r="D5" t="s">
        <v>60</v>
      </c>
      <c r="E5" t="s">
        <v>12</v>
      </c>
      <c r="F5" t="s">
        <v>16</v>
      </c>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row>
    <row r="6" spans="1:235" s="2" customFormat="1">
      <c r="A6">
        <v>6</v>
      </c>
      <c r="B6" t="s">
        <v>196</v>
      </c>
      <c r="C6" t="s">
        <v>115</v>
      </c>
      <c r="D6" t="s">
        <v>256</v>
      </c>
      <c r="E6" t="s">
        <v>244</v>
      </c>
      <c r="F6" t="s">
        <v>13</v>
      </c>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row>
    <row r="7" spans="1:235" s="2" customFormat="1">
      <c r="A7">
        <v>7</v>
      </c>
      <c r="B7" t="s">
        <v>197</v>
      </c>
      <c r="C7" t="s">
        <v>116</v>
      </c>
      <c r="D7" s="5" t="s">
        <v>217</v>
      </c>
      <c r="E7" t="s">
        <v>17</v>
      </c>
      <c r="F7" t="s">
        <v>14</v>
      </c>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row>
    <row r="8" spans="1:235" s="2" customFormat="1">
      <c r="A8">
        <v>8</v>
      </c>
      <c r="B8" t="s">
        <v>198</v>
      </c>
      <c r="C8" t="s">
        <v>105</v>
      </c>
      <c r="D8" t="s">
        <v>218</v>
      </c>
      <c r="E8" t="s">
        <v>251</v>
      </c>
      <c r="F8" t="s">
        <v>14</v>
      </c>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row>
    <row r="9" spans="1:235" s="2" customFormat="1">
      <c r="A9">
        <v>9</v>
      </c>
      <c r="B9" t="s">
        <v>199</v>
      </c>
      <c r="C9" t="s">
        <v>162</v>
      </c>
      <c r="D9" t="s">
        <v>256</v>
      </c>
      <c r="E9" t="s">
        <v>244</v>
      </c>
      <c r="F9" t="s">
        <v>19</v>
      </c>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row>
    <row r="10" spans="1:235" s="2" customFormat="1">
      <c r="A10">
        <v>10</v>
      </c>
      <c r="B10" t="s">
        <v>200</v>
      </c>
      <c r="C10" t="s">
        <v>168</v>
      </c>
      <c r="D10" t="s">
        <v>63</v>
      </c>
      <c r="E10" t="s">
        <v>17</v>
      </c>
      <c r="F10" t="s">
        <v>14</v>
      </c>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row>
    <row r="11" spans="1:235" s="2" customFormat="1">
      <c r="A11">
        <v>11</v>
      </c>
      <c r="B11" t="s">
        <v>201</v>
      </c>
      <c r="C11" t="s">
        <v>101</v>
      </c>
      <c r="D11" t="s">
        <v>257</v>
      </c>
      <c r="E11" t="s">
        <v>20</v>
      </c>
      <c r="F11" t="s">
        <v>19</v>
      </c>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row>
    <row r="12" spans="1:235" s="2" customFormat="1">
      <c r="A12">
        <v>12</v>
      </c>
      <c r="B12" t="s">
        <v>202</v>
      </c>
      <c r="C12" t="s">
        <v>102</v>
      </c>
      <c r="D12" t="s">
        <v>219</v>
      </c>
      <c r="E12" t="s">
        <v>20</v>
      </c>
      <c r="F12" t="s">
        <v>14</v>
      </c>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row>
    <row r="13" spans="1:235" s="2" customFormat="1">
      <c r="A13">
        <v>13</v>
      </c>
      <c r="B13" t="s">
        <v>203</v>
      </c>
      <c r="C13" t="s">
        <v>103</v>
      </c>
      <c r="D13" t="s">
        <v>60</v>
      </c>
      <c r="E13" t="s">
        <v>20</v>
      </c>
      <c r="F13" t="s">
        <v>16</v>
      </c>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row>
    <row r="14" spans="1:235" s="2" customFormat="1">
      <c r="A14">
        <v>14</v>
      </c>
      <c r="B14" t="s">
        <v>204</v>
      </c>
      <c r="C14" t="s">
        <v>119</v>
      </c>
      <c r="D14" t="s">
        <v>258</v>
      </c>
      <c r="E14" t="s">
        <v>18</v>
      </c>
      <c r="F14" t="s">
        <v>19</v>
      </c>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row>
    <row r="15" spans="1:235" s="2" customFormat="1">
      <c r="A15">
        <v>15</v>
      </c>
      <c r="B15" t="s">
        <v>205</v>
      </c>
      <c r="C15" t="s">
        <v>171</v>
      </c>
      <c r="D15" t="s">
        <v>220</v>
      </c>
      <c r="E15" t="s">
        <v>18</v>
      </c>
      <c r="F15" t="s">
        <v>14</v>
      </c>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row>
    <row r="16" spans="1:235" s="2" customFormat="1">
      <c r="A16">
        <v>16</v>
      </c>
      <c r="B16" t="s">
        <v>206</v>
      </c>
      <c r="C16" t="s">
        <v>252</v>
      </c>
      <c r="D16" t="s">
        <v>259</v>
      </c>
      <c r="E16" t="s">
        <v>21</v>
      </c>
      <c r="F16" t="s">
        <v>19</v>
      </c>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row>
    <row r="17" spans="1:235" s="2" customFormat="1">
      <c r="A17">
        <v>17</v>
      </c>
      <c r="B17" t="s">
        <v>207</v>
      </c>
      <c r="C17" t="s">
        <v>121</v>
      </c>
      <c r="D17" t="s">
        <v>260</v>
      </c>
      <c r="E17" t="s">
        <v>22</v>
      </c>
      <c r="F17" t="s">
        <v>13</v>
      </c>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row>
    <row r="18" spans="1:235" s="2" customFormat="1">
      <c r="A18">
        <v>18</v>
      </c>
      <c r="B18" t="s">
        <v>208</v>
      </c>
      <c r="C18" t="s">
        <v>122</v>
      </c>
      <c r="D18" t="s">
        <v>221</v>
      </c>
      <c r="E18" t="s">
        <v>21</v>
      </c>
      <c r="F18" t="s">
        <v>14</v>
      </c>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row>
    <row r="19" spans="1:235" s="2" customFormat="1">
      <c r="A19">
        <v>19</v>
      </c>
      <c r="B19" t="s">
        <v>210</v>
      </c>
      <c r="C19" t="s">
        <v>174</v>
      </c>
      <c r="D19" t="s">
        <v>60</v>
      </c>
      <c r="E19" t="s">
        <v>21</v>
      </c>
      <c r="F19" t="s">
        <v>16</v>
      </c>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row>
    <row r="20" spans="1:235" s="2" customFormat="1">
      <c r="A20">
        <v>20</v>
      </c>
      <c r="B20" t="s">
        <v>238</v>
      </c>
      <c r="C20" t="s">
        <v>123</v>
      </c>
      <c r="D20" t="s">
        <v>261</v>
      </c>
      <c r="E20" t="s">
        <v>23</v>
      </c>
      <c r="F20" t="s">
        <v>13</v>
      </c>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row>
    <row r="21" spans="1:235" s="2" customFormat="1">
      <c r="A21">
        <v>21</v>
      </c>
      <c r="B21" t="s">
        <v>239</v>
      </c>
      <c r="C21" t="s">
        <v>101</v>
      </c>
      <c r="D21" t="s">
        <v>262</v>
      </c>
      <c r="E21" t="s">
        <v>20</v>
      </c>
      <c r="F21" t="s">
        <v>13</v>
      </c>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row>
    <row r="22" spans="1:235" s="2" customFormat="1">
      <c r="A22">
        <v>22</v>
      </c>
      <c r="B22" t="s">
        <v>211</v>
      </c>
      <c r="C22" t="s">
        <v>106</v>
      </c>
      <c r="D22" t="s">
        <v>73</v>
      </c>
      <c r="E22" t="s">
        <v>21</v>
      </c>
      <c r="F22" t="s">
        <v>254</v>
      </c>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row>
    <row r="23" spans="1:235">
      <c r="A23">
        <v>23</v>
      </c>
      <c r="B23" t="s">
        <v>212</v>
      </c>
      <c r="C23" t="s">
        <v>189</v>
      </c>
      <c r="D23" t="s">
        <v>73</v>
      </c>
      <c r="E23" t="s">
        <v>12</v>
      </c>
      <c r="F23" t="s">
        <v>254</v>
      </c>
    </row>
    <row r="24" spans="1:235">
      <c r="A24">
        <v>24</v>
      </c>
      <c r="B24" t="s">
        <v>209</v>
      </c>
      <c r="C24" t="s">
        <v>176</v>
      </c>
      <c r="D24" t="s">
        <v>263</v>
      </c>
      <c r="E24" t="s">
        <v>234</v>
      </c>
      <c r="F24" t="s">
        <v>19</v>
      </c>
    </row>
    <row r="25" spans="1:235">
      <c r="A25">
        <v>25</v>
      </c>
      <c r="B25" t="s">
        <v>213</v>
      </c>
      <c r="C25" t="s">
        <v>141</v>
      </c>
      <c r="D25" t="s">
        <v>73</v>
      </c>
      <c r="E25" t="s">
        <v>18</v>
      </c>
      <c r="F25" t="s">
        <v>254</v>
      </c>
    </row>
    <row r="26" spans="1:235">
      <c r="A26">
        <v>26</v>
      </c>
      <c r="B26" t="s">
        <v>214</v>
      </c>
      <c r="C26" t="s">
        <v>102</v>
      </c>
      <c r="D26" t="s">
        <v>73</v>
      </c>
      <c r="E26" t="s">
        <v>20</v>
      </c>
      <c r="F26" t="s">
        <v>254</v>
      </c>
    </row>
    <row r="27" spans="1:235">
      <c r="A27">
        <v>27</v>
      </c>
      <c r="B27" t="s">
        <v>215</v>
      </c>
      <c r="C27" t="s">
        <v>106</v>
      </c>
      <c r="D27" t="s">
        <v>73</v>
      </c>
      <c r="E27" t="s">
        <v>12</v>
      </c>
      <c r="F27" t="s">
        <v>254</v>
      </c>
    </row>
    <row r="28" spans="1:235">
      <c r="A28">
        <v>29</v>
      </c>
      <c r="B28" t="s">
        <v>237</v>
      </c>
      <c r="C28" t="s">
        <v>123</v>
      </c>
      <c r="D28" t="s">
        <v>261</v>
      </c>
      <c r="E28" t="s">
        <v>23</v>
      </c>
      <c r="F28" t="s">
        <v>13</v>
      </c>
    </row>
    <row r="29" spans="1:235" s="2" customFormat="1">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row>
  </sheetData>
  <pageMargins left="0.7" right="0.7" top="0.75" bottom="0.75" header="0.3" footer="0.3"/>
  <ignoredErrors>
    <ignoredError sqref="B1 D1 F1 E5:F5 E7:F7 F8 E10:F10 E11:F11 E12:F12 E13:F13 F14 E15:F15 E16 E17 E18:F18 E19:F19 E2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9E346-4EBF-493E-9E0F-B96C0963746A}">
  <sheetPr codeName="Sheet4"/>
  <dimension ref="A1:D42"/>
  <sheetViews>
    <sheetView zoomScale="107" zoomScaleNormal="107" workbookViewId="0">
      <selection activeCell="B5" sqref="B5"/>
    </sheetView>
  </sheetViews>
  <sheetFormatPr defaultColWidth="8.796875" defaultRowHeight="15.6"/>
  <cols>
    <col min="1" max="1" width="20.69921875" style="3" customWidth="1"/>
    <col min="2" max="2" width="30.69921875" style="3" customWidth="1"/>
    <col min="3" max="3" width="50.69921875" style="3" customWidth="1"/>
  </cols>
  <sheetData>
    <row r="1" spans="1:4">
      <c r="A1" s="3" t="s">
        <v>0</v>
      </c>
    </row>
    <row r="2" spans="1:4" ht="78">
      <c r="A2" s="3" t="s">
        <v>126</v>
      </c>
      <c r="B2" s="3" t="s">
        <v>98</v>
      </c>
      <c r="C2" s="3" t="s">
        <v>143</v>
      </c>
      <c r="D2" t="s">
        <v>146</v>
      </c>
    </row>
    <row r="3" spans="1:4" ht="156">
      <c r="B3" s="3" t="s">
        <v>144</v>
      </c>
      <c r="C3" s="3" t="s">
        <v>158</v>
      </c>
      <c r="D3" t="s">
        <v>148</v>
      </c>
    </row>
    <row r="4" spans="1:4" ht="31.2">
      <c r="B4" s="3" t="s">
        <v>125</v>
      </c>
      <c r="C4" s="3" t="s">
        <v>96</v>
      </c>
      <c r="D4" t="s">
        <v>149</v>
      </c>
    </row>
    <row r="5" spans="1:4" ht="187.2">
      <c r="B5" s="3" t="s">
        <v>145</v>
      </c>
      <c r="C5" s="3" t="s">
        <v>159</v>
      </c>
      <c r="D5" t="s">
        <v>60</v>
      </c>
    </row>
    <row r="6" spans="1:4" ht="62.4">
      <c r="B6" s="3" t="s">
        <v>150</v>
      </c>
      <c r="C6" s="3" t="s">
        <v>151</v>
      </c>
      <c r="D6" t="s">
        <v>73</v>
      </c>
    </row>
    <row r="7" spans="1:4" ht="46.8">
      <c r="A7" s="3" t="s">
        <v>127</v>
      </c>
      <c r="B7" s="3" t="s">
        <v>125</v>
      </c>
      <c r="C7" s="3" t="s">
        <v>96</v>
      </c>
      <c r="D7" t="s">
        <v>149</v>
      </c>
    </row>
    <row r="8" spans="1:4" ht="187.2">
      <c r="B8" s="3" t="s">
        <v>145</v>
      </c>
      <c r="C8" s="3" t="s">
        <v>159</v>
      </c>
      <c r="D8" t="s">
        <v>60</v>
      </c>
    </row>
    <row r="9" spans="1:4" ht="234">
      <c r="B9" s="3" t="s">
        <v>47</v>
      </c>
      <c r="C9" s="3" t="s">
        <v>181</v>
      </c>
      <c r="D9" t="s">
        <v>61</v>
      </c>
    </row>
    <row r="10" spans="1:4" ht="249.6">
      <c r="B10" s="3" t="s">
        <v>48</v>
      </c>
      <c r="C10" s="3" t="s">
        <v>160</v>
      </c>
      <c r="D10" t="s">
        <v>152</v>
      </c>
    </row>
    <row r="11" spans="1:4" ht="187.2">
      <c r="B11" s="3" t="s">
        <v>53</v>
      </c>
      <c r="C11" s="3" t="s">
        <v>135</v>
      </c>
      <c r="D11" t="s">
        <v>65</v>
      </c>
    </row>
    <row r="12" spans="1:4" ht="156">
      <c r="B12" s="3" t="s">
        <v>154</v>
      </c>
      <c r="C12" s="3" t="s">
        <v>161</v>
      </c>
      <c r="D12" t="s">
        <v>73</v>
      </c>
    </row>
    <row r="13" spans="1:4" ht="46.8">
      <c r="A13" s="3" t="s">
        <v>128</v>
      </c>
      <c r="B13" s="3" t="s">
        <v>125</v>
      </c>
      <c r="C13" s="3" t="s">
        <v>96</v>
      </c>
      <c r="D13" t="s">
        <v>149</v>
      </c>
    </row>
    <row r="14" spans="1:4" ht="374.4">
      <c r="B14" s="3" t="s">
        <v>50</v>
      </c>
      <c r="C14" s="3" t="s">
        <v>182</v>
      </c>
      <c r="D14" t="s">
        <v>61</v>
      </c>
    </row>
    <row r="15" spans="1:4" ht="327.60000000000002">
      <c r="B15" s="3" t="s">
        <v>51</v>
      </c>
      <c r="C15" s="3" t="s">
        <v>183</v>
      </c>
      <c r="D15" t="s">
        <v>63</v>
      </c>
    </row>
    <row r="16" spans="1:4" ht="156">
      <c r="A16" s="3" t="s">
        <v>129</v>
      </c>
      <c r="B16" s="3" t="s">
        <v>52</v>
      </c>
      <c r="C16" s="3" t="s">
        <v>184</v>
      </c>
      <c r="D16" t="s">
        <v>64</v>
      </c>
    </row>
    <row r="17" spans="1:4" ht="109.2">
      <c r="B17" s="3" t="s">
        <v>169</v>
      </c>
      <c r="C17" s="3" t="s">
        <v>134</v>
      </c>
      <c r="D17" t="s">
        <v>71</v>
      </c>
    </row>
    <row r="18" spans="1:4" ht="156">
      <c r="B18" s="3" t="s">
        <v>170</v>
      </c>
      <c r="C18" s="3" t="s">
        <v>184</v>
      </c>
      <c r="D18" t="s">
        <v>73</v>
      </c>
    </row>
    <row r="19" spans="1:4" ht="234">
      <c r="A19" s="3" t="s">
        <v>130</v>
      </c>
      <c r="B19" s="3" t="s">
        <v>47</v>
      </c>
      <c r="C19" s="3" t="s">
        <v>181</v>
      </c>
      <c r="D19" t="s">
        <v>61</v>
      </c>
    </row>
    <row r="20" spans="1:4" ht="187.2">
      <c r="B20" s="3" t="s">
        <v>53</v>
      </c>
      <c r="C20" s="3" t="s">
        <v>135</v>
      </c>
      <c r="D20" t="s">
        <v>65</v>
      </c>
    </row>
    <row r="21" spans="1:4" ht="171.6">
      <c r="B21" s="3" t="s">
        <v>54</v>
      </c>
      <c r="C21" s="3" t="s">
        <v>185</v>
      </c>
      <c r="D21" t="s">
        <v>66</v>
      </c>
    </row>
    <row r="22" spans="1:4" ht="187.2">
      <c r="A22" s="3" t="s">
        <v>131</v>
      </c>
      <c r="B22" s="3" t="s">
        <v>145</v>
      </c>
      <c r="C22" s="3" t="s">
        <v>159</v>
      </c>
      <c r="D22" t="s">
        <v>60</v>
      </c>
    </row>
    <row r="23" spans="1:4" ht="234">
      <c r="B23" s="3" t="s">
        <v>47</v>
      </c>
      <c r="C23" s="3" t="s">
        <v>181</v>
      </c>
      <c r="D23" t="s">
        <v>61</v>
      </c>
    </row>
    <row r="24" spans="1:4" ht="187.2">
      <c r="B24" s="3" t="s">
        <v>53</v>
      </c>
      <c r="C24" s="3" t="s">
        <v>135</v>
      </c>
      <c r="D24" t="s">
        <v>65</v>
      </c>
    </row>
    <row r="25" spans="1:4" ht="31.2">
      <c r="B25" s="3" t="s">
        <v>55</v>
      </c>
      <c r="C25" s="3" t="s">
        <v>114</v>
      </c>
      <c r="D25" t="s">
        <v>67</v>
      </c>
    </row>
    <row r="26" spans="1:4" ht="31.2">
      <c r="B26" s="3" t="s">
        <v>56</v>
      </c>
      <c r="C26" s="3" t="s">
        <v>173</v>
      </c>
      <c r="D26" t="s">
        <v>68</v>
      </c>
    </row>
    <row r="27" spans="1:4" ht="46.8">
      <c r="B27" s="3" t="s">
        <v>58</v>
      </c>
      <c r="C27" s="3" t="s">
        <v>86</v>
      </c>
      <c r="D27" t="s">
        <v>69</v>
      </c>
    </row>
    <row r="28" spans="1:4" ht="109.2">
      <c r="B28" s="3" t="s">
        <v>59</v>
      </c>
      <c r="C28" s="3" t="s">
        <v>186</v>
      </c>
      <c r="D28" t="s">
        <v>60</v>
      </c>
    </row>
    <row r="29" spans="1:4" ht="62.4">
      <c r="B29" s="3" t="s">
        <v>150</v>
      </c>
      <c r="C29" s="3" t="s">
        <v>151</v>
      </c>
      <c r="D29" t="s">
        <v>73</v>
      </c>
    </row>
    <row r="30" spans="1:4" ht="265.2">
      <c r="A30" s="3" t="s">
        <v>180</v>
      </c>
      <c r="B30" s="3" t="s">
        <v>58</v>
      </c>
      <c r="C30" s="3" t="s">
        <v>136</v>
      </c>
      <c r="D30" t="s">
        <v>73</v>
      </c>
    </row>
    <row r="31" spans="1:4" ht="93.6">
      <c r="B31" s="3" t="s">
        <v>57</v>
      </c>
      <c r="C31" s="3" t="s">
        <v>137</v>
      </c>
      <c r="D31" t="s">
        <v>70</v>
      </c>
    </row>
    <row r="32" spans="1:4" ht="93.6">
      <c r="B32" s="3" t="s">
        <v>140</v>
      </c>
      <c r="C32" s="3" t="s">
        <v>187</v>
      </c>
      <c r="D32" t="s">
        <v>72</v>
      </c>
    </row>
    <row r="33" spans="1:4" ht="187.2">
      <c r="B33" s="3" t="s">
        <v>53</v>
      </c>
      <c r="C33" s="3" t="s">
        <v>135</v>
      </c>
      <c r="D33" t="s">
        <v>65</v>
      </c>
    </row>
    <row r="34" spans="1:4" ht="31.2">
      <c r="B34" s="3" t="s">
        <v>55</v>
      </c>
      <c r="C34" s="3" t="s">
        <v>114</v>
      </c>
      <c r="D34" t="s">
        <v>67</v>
      </c>
    </row>
    <row r="35" spans="1:4" ht="62.4">
      <c r="A35" s="3" t="s">
        <v>132</v>
      </c>
      <c r="B35" s="3" t="s">
        <v>58</v>
      </c>
      <c r="C35" s="3" t="s">
        <v>86</v>
      </c>
      <c r="D35" t="s">
        <v>69</v>
      </c>
    </row>
    <row r="36" spans="1:4" ht="93.6">
      <c r="B36" s="3" t="s">
        <v>57</v>
      </c>
      <c r="C36" s="3" t="s">
        <v>137</v>
      </c>
      <c r="D36" t="s">
        <v>70</v>
      </c>
    </row>
    <row r="37" spans="1:4" ht="62.4">
      <c r="A37" s="3" t="s">
        <v>133</v>
      </c>
      <c r="B37" s="3" t="s">
        <v>125</v>
      </c>
      <c r="C37" s="3" t="s">
        <v>96</v>
      </c>
      <c r="D37" t="s">
        <v>149</v>
      </c>
    </row>
    <row r="38" spans="1:4" ht="234">
      <c r="B38" s="3" t="s">
        <v>47</v>
      </c>
      <c r="C38" s="3" t="s">
        <v>181</v>
      </c>
      <c r="D38" t="s">
        <v>61</v>
      </c>
    </row>
    <row r="39" spans="1:4" ht="234">
      <c r="B39" s="3" t="s">
        <v>49</v>
      </c>
      <c r="C39" s="3" t="s">
        <v>188</v>
      </c>
      <c r="D39" t="s">
        <v>62</v>
      </c>
    </row>
    <row r="40" spans="1:4" ht="187.2">
      <c r="B40" s="3" t="s">
        <v>53</v>
      </c>
      <c r="C40" s="3" t="s">
        <v>135</v>
      </c>
      <c r="D40" t="s">
        <v>65</v>
      </c>
    </row>
    <row r="41" spans="1:4" ht="31.2">
      <c r="B41" s="3" t="s">
        <v>55</v>
      </c>
      <c r="C41" s="3" t="s">
        <v>114</v>
      </c>
      <c r="D41" t="s">
        <v>67</v>
      </c>
    </row>
    <row r="42" spans="1:4" ht="62.4">
      <c r="B42" s="3" t="s">
        <v>150</v>
      </c>
      <c r="C42" s="3" t="s">
        <v>151</v>
      </c>
      <c r="D42" t="s">
        <v>73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21"/>
  <sheetViews>
    <sheetView topLeftCell="A3" workbookViewId="0">
      <selection activeCell="A16" sqref="A16"/>
    </sheetView>
  </sheetViews>
  <sheetFormatPr defaultColWidth="8.796875" defaultRowHeight="15.6"/>
  <cols>
    <col min="1" max="1" width="88.69921875" customWidth="1"/>
  </cols>
  <sheetData>
    <row r="1" spans="1:1">
      <c r="A1" t="s">
        <v>24</v>
      </c>
    </row>
    <row r="2" spans="1:1">
      <c r="A2" t="s">
        <v>36</v>
      </c>
    </row>
    <row r="3" spans="1:1">
      <c r="A3" t="s">
        <v>37</v>
      </c>
    </row>
    <row r="5" spans="1:1">
      <c r="A5" t="s">
        <v>38</v>
      </c>
    </row>
    <row r="6" spans="1:1">
      <c r="A6" t="s">
        <v>231</v>
      </c>
    </row>
    <row r="7" spans="1:1">
      <c r="A7" t="s">
        <v>40</v>
      </c>
    </row>
    <row r="8" spans="1:1">
      <c r="A8" t="s">
        <v>39</v>
      </c>
    </row>
    <row r="9" spans="1:1">
      <c r="A9" s="1" t="s">
        <v>25</v>
      </c>
    </row>
    <row r="10" spans="1:1">
      <c r="A10" s="1" t="s">
        <v>26</v>
      </c>
    </row>
    <row r="11" spans="1:1">
      <c r="A11" s="1" t="s">
        <v>27</v>
      </c>
    </row>
    <row r="12" spans="1:1">
      <c r="A12" s="1" t="s">
        <v>6</v>
      </c>
    </row>
    <row r="13" spans="1:1">
      <c r="A13" s="1" t="s">
        <v>28</v>
      </c>
    </row>
    <row r="14" spans="1:1">
      <c r="A14" s="1" t="s">
        <v>29</v>
      </c>
    </row>
    <row r="15" spans="1:1">
      <c r="A15" s="1" t="s">
        <v>30</v>
      </c>
    </row>
    <row r="16" spans="1:1">
      <c r="A16" s="1" t="s">
        <v>31</v>
      </c>
    </row>
    <row r="17" spans="1:1">
      <c r="A17" s="1" t="s">
        <v>32</v>
      </c>
    </row>
    <row r="18" spans="1:1">
      <c r="A18" s="1" t="s">
        <v>33</v>
      </c>
    </row>
    <row r="19" spans="1:1">
      <c r="A19" s="1" t="s">
        <v>34</v>
      </c>
    </row>
    <row r="20" spans="1:1">
      <c r="A20" s="1" t="s">
        <v>35</v>
      </c>
    </row>
    <row r="21" spans="1:1">
      <c r="A21" s="1" t="s">
        <v>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treatments</vt:lpstr>
      <vt:lpstr>kinematic_deviations</vt:lpstr>
      <vt:lpstr>impairments</vt:lpstr>
      <vt:lpstr>table</vt:lpstr>
      <vt:lpstr>Keys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wan</dc:creator>
  <cp:lastModifiedBy>Joshua Wan</cp:lastModifiedBy>
  <dcterms:created xsi:type="dcterms:W3CDTF">2023-12-26T19:58:21Z</dcterms:created>
  <dcterms:modified xsi:type="dcterms:W3CDTF">2024-05-11T20:08:33Z</dcterms:modified>
</cp:coreProperties>
</file>