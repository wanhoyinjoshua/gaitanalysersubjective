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C:\Users\wanho\Documents\kate_gait_subjective\gaitanalysersubjective\app\jsonfiles\excel\swing\"/>
    </mc:Choice>
  </mc:AlternateContent>
  <xr:revisionPtr revIDLastSave="0" documentId="13_ncr:1_{1B86BA93-9D4D-41EF-BD1B-C97E0D746868}" xr6:coauthVersionLast="47" xr6:coauthVersionMax="47" xr10:uidLastSave="{00000000-0000-0000-0000-000000000000}"/>
  <bookViews>
    <workbookView xWindow="-108" yWindow="-108" windowWidth="23256" windowHeight="12576" xr2:uid="{00000000-000D-0000-FFFF-FFFF00000000}"/>
  </bookViews>
  <sheets>
    <sheet name="treatments" sheetId="1" r:id="rId1"/>
    <sheet name="kinematic_deviations" sheetId="2" r:id="rId2"/>
    <sheet name="impairments" sheetId="3" r:id="rId3"/>
    <sheet name="table" sheetId="5" r:id="rId4"/>
    <sheet name="Keys" sheetId="4" r:id="rId5"/>
  </sheet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5" i="1" l="1"/>
  <c r="J24" i="1"/>
  <c r="J23" i="1"/>
</calcChain>
</file>

<file path=xl/sharedStrings.xml><?xml version="1.0" encoding="utf-8"?>
<sst xmlns="http://schemas.openxmlformats.org/spreadsheetml/2006/main" count="181" uniqueCount="128">
  <si>
    <t>id</t>
  </si>
  <si>
    <t>label</t>
  </si>
  <si>
    <t>level</t>
  </si>
  <si>
    <t>strength</t>
  </si>
  <si>
    <t>coordination</t>
  </si>
  <si>
    <t>part</t>
  </si>
  <si>
    <t>whole</t>
  </si>
  <si>
    <t>rom</t>
  </si>
  <si>
    <t>WHOLE PRACTICE: Walking on a treadmill. Top tip: set treadmill at a slight incline to promote more DF.</t>
  </si>
  <si>
    <t>WHOLE PRACTICE: Walking over grass, carpet or other surfaces to promote DF.</t>
  </si>
  <si>
    <t>PART PRACTICE: Stepping affected foot on/off block. Top tip: increase the need for hip flexion by bringing block closer to toes so foot will catch if insufficient hip flexion.</t>
  </si>
  <si>
    <t>STRENGTHENING: Hip flexion in side-lying (gravity eliminated) using slidesheet to decrease friction. Top tip: use suspension cage if available.</t>
  </si>
  <si>
    <t>STRENGTHENING: Progressive resistance training for hip flexion with band or weights in sitting / standing.</t>
  </si>
  <si>
    <t>STRENGTHENING: Improve ability to decelerate knee extension by controlling knee extension in standing, eg, flex knee then control lowering.</t>
  </si>
  <si>
    <t>PART PRACTICE:  Hip flexion to a target in standing. Top tip: face a wall to promote knee flexion.</t>
  </si>
  <si>
    <t>STRENGTHENING: Plantarflexor strengthening in standing on a downwards sloping wedge with back against wall and lower heels down to floor.</t>
  </si>
  <si>
    <t>STRENGTHENING: Plantarflexor strengthening in lying against resistance (wall, end of bed, tilt-table preferably with feedback eg scales, pressure monitor).</t>
  </si>
  <si>
    <t>PART PRACTICE: plantarflexion via heel raises in standing, use a verbal cue to emphasise the difference between eccentric control and rapid concentric activity (power generation).</t>
  </si>
  <si>
    <t>possible_impairments</t>
  </si>
  <si>
    <t xml:space="preserve">Early Swing -Decreased peak hip flexion </t>
  </si>
  <si>
    <t>Early Swing - Decreased peak knee flexion</t>
  </si>
  <si>
    <t>Early and/or Late Swing - Decreased ankle dorsiflexion</t>
  </si>
  <si>
    <t>impairment</t>
  </si>
  <si>
    <t>treatment</t>
  </si>
  <si>
    <t>testing</t>
  </si>
  <si>
    <t>physio_movements</t>
  </si>
  <si>
    <t>class</t>
  </si>
  <si>
    <t>["ankle_dorsiflexion"]</t>
  </si>
  <si>
    <t>["concentric_str"]</t>
  </si>
  <si>
    <t>[2,3,4,5,6,7,8,26]</t>
  </si>
  <si>
    <t>Test ability to dorsiflex rapidly and repetitively</t>
  </si>
  <si>
    <t>["coor"]</t>
  </si>
  <si>
    <t>[2,3,4,5,6,7,8]</t>
  </si>
  <si>
    <t>Test ability to maintain DF whilst flexing and extending knee</t>
  </si>
  <si>
    <t>[]</t>
  </si>
  <si>
    <t>Subjective perception of sensation. If loss suspected then complete a proprioception test / sensation test, eg, Nottingham</t>
  </si>
  <si>
    <t>["sensation"]</t>
  </si>
  <si>
    <t>Tardieu scale</t>
  </si>
  <si>
    <t>["rom"]</t>
  </si>
  <si>
    <t>MMT – test iliopsoas, not quadriceps e.g. knee in flexion</t>
  </si>
  <si>
    <t>["hip_flexion"]</t>
  </si>
  <si>
    <t>Test ability to flex hip rapidly</t>
  </si>
  <si>
    <t>Tactile sensation tests Proprioception tests</t>
  </si>
  <si>
    <t>["knee_flexion"]</t>
  </si>
  <si>
    <t>["hip_extension"]</t>
  </si>
  <si>
    <t>EMG recording in stepping/completing a foot tap</t>
  </si>
  <si>
    <t>[14]</t>
  </si>
  <si>
    <t>please do not change the name of the sheets</t>
  </si>
  <si>
    <t>all spelling for the following must be exactly correct and must be enclosed by ["…","…"]</t>
  </si>
  <si>
    <t xml:space="preserve">to add, simply append "…[text]", if it is a number, no "…" is required, simply type the number </t>
  </si>
  <si>
    <t xml:space="preserve">Translation into another language, excel sheet will be the basis for the translation process, the logic fields will not be accessible during the translation proccess if it is desired to be done manually, but likely will be done via google translate and have someone validating it. </t>
  </si>
  <si>
    <t xml:space="preserve">for treatment sheet, all fields should be self explanatory except level and strength , strength has three values, 0, 1 or 2 , 0 is not targeting strength , 1 is concentric  2 is eccentric, level is corresponding to the level of groups ( the 4 groups relating to torque production), if the treatment is not targeting strength it does not matter what it is. if it feels easier, you can filter out strength . coor treatments /  impairments to organise and make it easier to read. </t>
  </si>
  <si>
    <t>At this stage feel free to change the sheet to your liking, even if that means adding fields, it wont affect the process, just treat it as a normal excel sheet, I will change thee code to make it work.</t>
  </si>
  <si>
    <t xml:space="preserve">Good luck and have fun! </t>
  </si>
  <si>
    <t>concentric_str</t>
  </si>
  <si>
    <t>coor</t>
  </si>
  <si>
    <t>other</t>
  </si>
  <si>
    <t>eccentric_str</t>
  </si>
  <si>
    <t>ankle_plantarflexion</t>
  </si>
  <si>
    <t>ankle_dorsiflexion</t>
  </si>
  <si>
    <t>knee_flexion</t>
  </si>
  <si>
    <t>knee_extension</t>
  </si>
  <si>
    <t>hip_extension</t>
  </si>
  <si>
    <t>hip_flexion</t>
  </si>
  <si>
    <t>hip_abduction</t>
  </si>
  <si>
    <t>Adapt task specific training to provide additional feedback (verbal, visual, environmental cues)</t>
  </si>
  <si>
    <t>reference</t>
  </si>
  <si>
    <t>image</t>
  </si>
  <si>
    <t>[35]</t>
  </si>
  <si>
    <t>["https://app.magicapp.org/#/guideline/Kj2R8j/section/LrwOWn"]</t>
  </si>
  <si>
    <t>COORDINATION: Decreased ability to rapidly dorsiflex at the ankle</t>
  </si>
  <si>
    <t>COORDINATION: Decreased ability to maintain DF with knee extension</t>
  </si>
  <si>
    <t xml:space="preserve">SENSATION: Decreased sensation in ankle </t>
  </si>
  <si>
    <t>STRENGTH: Decreased strength hip flexors (concentric)</t>
  </si>
  <si>
    <t>SENSATION: Decreased sensation in the hip</t>
  </si>
  <si>
    <t>STRENGTH: Decreased strength in knee flexors in slow walker (concentric)</t>
  </si>
  <si>
    <t>ROM: Interventions to attempt to lengthen muscle using the following principles, positioning, sustained stretching, loading in a lengthened position, note that current evidence do not clearly support interventions to increase muscle length</t>
  </si>
  <si>
    <t>STRENGTHENING: Hip extensors strengthening against gravity with therabands, apply principles of progressive resistance training</t>
  </si>
  <si>
    <t>STRENGTHENING: Hip extensors strengthening in gravity elimminated positions.</t>
  </si>
  <si>
    <t>STRENGTHENING: Hip extension strengthening in supine with affected leg over edge of bed</t>
  </si>
  <si>
    <t>PART PRACTICE: Stepping with affected foot starting behind intact (start with affected hip in hip extension).</t>
  </si>
  <si>
    <t>CONSIDER: End stance alignment not in hip extension limiting ability to generate hip flexion using pendular motion</t>
  </si>
  <si>
    <t>Analyse via selecting decreased hip extension at end stance in observations.</t>
  </si>
  <si>
    <t>STRENGTHENING: Knee flexion strengthening against gravity with therabands, apply principles of progressive resistance training</t>
  </si>
  <si>
    <t>RANGE OF MOTION: Decreased passive ankle dorsiflexion (contracture, spasticity ankle plantarflexors)</t>
  </si>
  <si>
    <t>[18,20]</t>
  </si>
  <si>
    <t>STRENGTHENING: Hip flexion in side-lying (gravity eliminated) using slidesheet to decrease friction. Top tip: use suspension cage if available._x000D_
_x000D_
STRENGTHENING: Progressive resistance training for hip flexion with band or weights in sitting / standing.</t>
  </si>
  <si>
    <t>COORDINATION: Decreased ability to rapidly flex hip (keeping knee in some flexion)</t>
  </si>
  <si>
    <t xml:space="preserve">WHOLE PRACTICE: Walking over obstacles,eg, set up an obstacle course. </t>
  </si>
  <si>
    <t>WHOLE PRACTICE: Walking emphasising walking with increased hip flexion. Eg. set up an obstacle course to encourage more hip flexion.</t>
  </si>
  <si>
    <t>[2,3,4,9,10,11,27]</t>
  </si>
  <si>
    <t>[39]</t>
  </si>
  <si>
    <t>see above</t>
  </si>
  <si>
    <t>[7,8,9,30]</t>
  </si>
  <si>
    <t>[10,30]</t>
  </si>
  <si>
    <t>[40]</t>
  </si>
  <si>
    <t>[22,2,3,4,5,6]</t>
  </si>
  <si>
    <t xml:space="preserve">EXCESSIVE MUSCLE ACTIVITY: Increased ankle plantarflexor muscle activity in swing </t>
  </si>
  <si>
    <t>PART PRACTICE: Practice alternating heel raises and toe raises (ankle DF/PF) in sitting.</t>
  </si>
  <si>
    <t>[2,3,4,41]</t>
  </si>
  <si>
    <t>[15]</t>
  </si>
  <si>
    <t>STRENGTHENING: Ankle dorsiflexion to target in sitting (with or without ES). Top tip: when good active movement practice with increased speed.</t>
  </si>
  <si>
    <t>PART PRACTICE: Stepping with affected foot behind intact (start with affected ankle in plantar flexion, landing with a heel strike).</t>
  </si>
  <si>
    <t>PART PRACTICE: Step with affected foot over obstacle. Top tip: the closer the object is, the more difficult to clear. Top tip: when improved increase height of the obstacle.</t>
  </si>
  <si>
    <t>WHOLE PRACTICE: Walking practice emphasising heel strike on landing. Top tip: use markers or footprints to step to.</t>
  </si>
  <si>
    <t>STRENGTHENING/PART PRACTICE: Practice fast DF movements in sitting. Top tip: consider timing each set to promote speed of movement.</t>
  </si>
  <si>
    <t>STRENGTH: Decreased strength ankle dorsiflexors (concentric/isometric)</t>
  </si>
  <si>
    <t>PART PRACTICE: Stepping affected foot on/off block. Top tip: increase the need for dorsiflexion by bringing block closer to toes so toes catch if insufficient dorsiflexion.</t>
  </si>
  <si>
    <t>PART PRACTICE: Stepping affected foot on/off block. Top tip: increase the need for dorsiflexion by bringing block closer to toes so toes catch if insufficient dorsiflexion._x000D_
_x000D_
PART PRACTICE: Stepping with affected foot behind intact (start with affected ankle in plantar flexion, landing with a heel strike)._x000D_
_x000D_
PART PRACTICE: Step with affected foot over obstacle. Top tip: the closer the object is, the more difficult to clear. Top tip: when improved increase height of the obstacle._x000D_
_x000D_
PART PRACTICE: Stepping affected foot on/off block. Top tip: increase the need for hip flexion by bringing block closer to toes so foot will catch if insufficient hip flexion._x000D_
_x000D_
PART PRACTICE: Stepping with affected foot starting behind intact (start with affected hip in hip extension)._x000D_
_x000D_
WHOLE PRACTICE: Walking emphasising walking with increased hip flexion. Eg. set up an obstacle course to encourage more hip flexion._x000D_
_x000D_
PART PRACTICE:  Hip flexion to a target in standing. Top tip: face a wall to promote knee flexion.</t>
  </si>
  <si>
    <t>PART PRACTICE: Stepping affected foot on/off block. Top tip: increase the need for dorsiflexion by bringing block closer to toes so toes catch if insufficient dorsiflexion._x000D_
_x000D_
PART PRACTICE: Stepping with affected foot behind intact (start with affected ankle in plantar flexion, landing with a heel strike)._x000D_
_x000D_
PART PRACTICE: Step with affected foot over obstacle. Top tip: the closer the object is, the more difficult to clear. Top tip: when improved increase height of the obstacle._x000D_
_x000D_
PART PRACTICE: Practice alternating heel raises and toe raises (ankle DF/PF) in sitting.</t>
  </si>
  <si>
    <t>PART PRACTICE: Stepping affected foot on/off block. Top tip: increase the need for dorsiflexion by bringing block closer to toes so toes catch if insufficient dorsiflexion._x000D_
_x000D_
PART PRACTICE: Stepping with affected foot behind intact (start with affected ankle in plantar flexion, landing with a heel strike)._x000D_
_x000D_
PART PRACTICE: Step with affected foot over obstacle. Top tip: the closer the object is, the more difficult to clear. Top tip: when improved increase height of the obstacle._x000D_
_x000D_
WHOLE PRACTICE: Walking practice emphasising heel strike on landing. Top tip: use markers or footprints to step to._x000D_
_x000D_
WHOLE PRACTICE: Walking on a treadmill. Top tip: set treadmill at a slight incline to promote more DF._x000D_
_x000D_
WHOLE PRACTICE: Walking over obstacles,eg, set up an obstacle course. _x000D_
_x000D_
WHOLE PRACTICE: Walking over grass, carpet or other surfaces to promote DF.</t>
  </si>
  <si>
    <t>PART PRACTICE: Stepping affected foot on/off block. Top tip: increase the need for dorsiflexion by bringing block closer to toes so toes catch if insufficient dorsiflexion._x000D_
_x000D_
PART PRACTICE: Stepping with affected foot behind intact (start with affected ankle in plantar flexion, landing with a heel strike)._x000D_
_x000D_
PART PRACTICE: Step with affected foot over obstacle. Top tip: the closer the object is, the more difficult to clear. Top tip: when improved increase height of the obstacle._x000D_
_x000D_
WHOLE PRACTICE: Walking practice emphasising heel strike on landing. Top tip: use markers or footprints to step to._x000D_
_x000D_
WHOLE PRACTICE: Walking on a treadmill. Top tip: set treadmill at a slight incline to promote more DF._x000D_
_x000D_
WHOLE PRACTICE: Walking over obstacles,eg, set up an obstacle course. _x000D_
_x000D_
WHOLE PRACTICE: Walking over grass, carpet or other surfaces to promote DF._x000D_
_x000D_
STRENGTHENING/PART PRACTICE: Practice fast DF movements in sitting. Top tip: consider timing each set to promote speed of movement.</t>
  </si>
  <si>
    <t>["ex_mus_ac"]</t>
  </si>
  <si>
    <t>MMT ankle dorsiflexors sitting, knee in flexion. Please classify strength level as below based on your assessment.</t>
  </si>
  <si>
    <t>MMT – test iliopsoas, not quadriceps e.g. knee in flexion. Please classify strength level as below based on your assessment.</t>
  </si>
  <si>
    <t>MMT -Knee flexors: supine, standing. Please classify strength level as below based on your assessment.</t>
  </si>
  <si>
    <t>walking_Tx16</t>
  </si>
  <si>
    <t>walking_Tx15</t>
  </si>
  <si>
    <t>walking_Tx17</t>
  </si>
  <si>
    <t>walking_Tx11</t>
  </si>
  <si>
    <t>walking_Tx24</t>
  </si>
  <si>
    <t>walking_S_Tx8</t>
  </si>
  <si>
    <t>walking_Tx27</t>
  </si>
  <si>
    <t>walking_Tx6</t>
  </si>
  <si>
    <t>walking_S_Tx18</t>
  </si>
  <si>
    <t>walking_Tx62</t>
  </si>
  <si>
    <t>walking_Tx1</t>
  </si>
  <si>
    <t>walking_S_Tx40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</si>
</sst>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2"/>
      <color theme="1"/>
      <name val="Calibri"/>
      <family val="2"/>
      <scheme val="minor"/>
    </font>
    <font>
      <sz val="12"/>
      <color rgb="FFFF0000"/>
      <name val="Calibri"/>
      <family val="2"/>
      <scheme val="minor"/>
    </font>
    <font>
      <b/>
      <sz val="12"/>
      <color theme="1"/>
      <name val="Calibri"/>
      <family val="2"/>
      <scheme val="minor"/>
    </font>
    <font>
      <sz val="12"/>
      <color rgb="FFFF0000"/>
      <name val="Calibri (Body)"/>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
    <border>
      <left/>
      <right/>
      <top/>
      <bottom/>
      <diagonal/>
    </border>
  </borders>
  <cellStyleXfs count="1">
    <xf numFmtId="0" fontId="0" fillId="0" borderId="0"/>
  </cellStyleXfs>
  <cellXfs count="11">
    <xf numFmtId="0" fontId="0" fillId="0" borderId="0" xfId="0"/>
    <xf numFmtId="0" fontId="0" fillId="2" borderId="0" xfId="0" applyFill="1"/>
    <xf numFmtId="0" fontId="0" fillId="3" borderId="0" xfId="0" applyFill="1"/>
    <xf numFmtId="0" fontId="0" fillId="0" borderId="0" xfId="0" applyAlignment="1">
      <alignment vertical="top" wrapText="1"/>
    </xf>
    <xf numFmtId="0" fontId="0" fillId="0" borderId="0" xfId="0" applyAlignment="1">
      <alignment wrapText="1"/>
    </xf>
    <xf numFmtId="0" fontId="1" fillId="0" borderId="0" xfId="0" applyFont="1" applyAlignment="1">
      <alignment vertical="top" wrapText="1"/>
    </xf>
    <xf numFmtId="0" fontId="1" fillId="0" borderId="0" xfId="0" applyFont="1"/>
    <xf numFmtId="0" fontId="3" fillId="0" borderId="0" xfId="0" applyFont="1" applyAlignment="1">
      <alignment vertical="top" wrapText="1"/>
    </xf>
    <xf numFmtId="0" fontId="2" fillId="0" borderId="0" xfId="0" applyFont="1" applyAlignment="1">
      <alignment wrapText="1"/>
    </xf>
    <xf numFmtId="0" fontId="1" fillId="0" borderId="0" xfId="0" applyFont="1" applyAlignment="1">
      <alignment wrapText="1"/>
    </xf>
    <xf numFmtId="0" fontId="0" fillId="2" borderId="0" xfId="0" applyFill="1" applyAlignment="1">
      <alignment wrapText="1"/>
    </xf>
  </cellXfs>
  <cellStyles count="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4</xdr:col>
      <xdr:colOff>26706</xdr:colOff>
      <xdr:row>0</xdr:row>
      <xdr:rowOff>26706</xdr:rowOff>
    </xdr:from>
    <xdr:to>
      <xdr:col>6</xdr:col>
      <xdr:colOff>33827</xdr:colOff>
      <xdr:row>1</xdr:row>
      <xdr:rowOff>33827</xdr:rowOff>
    </xdr:to>
    <xdr:sp macro="[0]!ThisWorkbook.CopyDataFromAnotherSheet" textlink="">
      <xdr:nvSpPr>
        <xdr:cNvPr id="4" name="Rectangle 3">
          <a:extLst>
            <a:ext uri="{FF2B5EF4-FFF2-40B4-BE49-F238E27FC236}">
              <a16:creationId xmlns:a16="http://schemas.microsoft.com/office/drawing/2014/main" id="{B7629BF1-A056-403F-A5C8-C77246F8733C}"/>
            </a:ext>
          </a:extLst>
        </xdr:cNvPr>
        <xdr:cNvSpPr/>
      </xdr:nvSpPr>
      <xdr:spPr>
        <a:xfrm>
          <a:off x="2768482" y="26706"/>
          <a:ext cx="1378009" cy="202962"/>
        </a:xfrm>
        <a:prstGeom prst="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l"/>
          <a:r>
            <a:rPr lang="en-US" sz="1100"/>
            <a:t>execute macro</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8"/>
  <sheetViews>
    <sheetView tabSelected="1" zoomScaleNormal="100" workbookViewId="0">
      <pane ySplit="1" topLeftCell="A2" activePane="bottomLeft" state="frozen"/>
      <selection pane="bottomLeft" activeCell="B14" sqref="B14"/>
    </sheetView>
  </sheetViews>
  <sheetFormatPr defaultColWidth="8.69921875" defaultRowHeight="15.6"/>
  <cols>
    <col min="2" max="2" width="103" customWidth="1"/>
  </cols>
  <sheetData>
    <row r="1" spans="1:10">
      <c r="A1" t="s">
        <v>0</v>
      </c>
      <c r="B1" t="s">
        <v>1</v>
      </c>
      <c r="C1" t="s">
        <v>2</v>
      </c>
      <c r="D1" t="s">
        <v>3</v>
      </c>
      <c r="E1" t="s">
        <v>4</v>
      </c>
      <c r="F1" t="s">
        <v>5</v>
      </c>
      <c r="G1" t="s">
        <v>6</v>
      </c>
      <c r="H1" t="s">
        <v>7</v>
      </c>
      <c r="I1" t="s">
        <v>66</v>
      </c>
      <c r="J1" t="s">
        <v>67</v>
      </c>
    </row>
    <row r="2" spans="1:10" s="1" customFormat="1">
      <c r="A2" s="1">
        <v>2</v>
      </c>
      <c r="B2" s="1" t="s">
        <v>107</v>
      </c>
      <c r="C2" s="1">
        <v>3</v>
      </c>
      <c r="D2" s="1">
        <v>0</v>
      </c>
      <c r="E2" s="1" t="b">
        <v>1</v>
      </c>
      <c r="F2" s="1" t="b">
        <v>1</v>
      </c>
      <c r="G2" s="1" t="b">
        <v>0</v>
      </c>
      <c r="H2" s="1" t="b">
        <v>0</v>
      </c>
      <c r="J2" s="1" t="s">
        <v>116</v>
      </c>
    </row>
    <row r="3" spans="1:10" s="1" customFormat="1">
      <c r="A3" s="1">
        <v>3</v>
      </c>
      <c r="B3" s="1" t="s">
        <v>102</v>
      </c>
      <c r="C3" s="1">
        <v>1</v>
      </c>
      <c r="D3" s="1">
        <v>0</v>
      </c>
      <c r="E3" s="1" t="b">
        <v>1</v>
      </c>
      <c r="F3" s="1" t="b">
        <v>1</v>
      </c>
      <c r="G3" s="1" t="b">
        <v>0</v>
      </c>
      <c r="H3" s="1" t="b">
        <v>0</v>
      </c>
      <c r="J3" s="1" t="s">
        <v>117</v>
      </c>
    </row>
    <row r="4" spans="1:10" s="1" customFormat="1">
      <c r="A4" s="1">
        <v>4</v>
      </c>
      <c r="B4" s="1" t="s">
        <v>103</v>
      </c>
      <c r="C4" s="1">
        <v>3</v>
      </c>
      <c r="D4" s="1">
        <v>0</v>
      </c>
      <c r="E4" s="1" t="b">
        <v>1</v>
      </c>
      <c r="F4" s="1" t="b">
        <v>1</v>
      </c>
      <c r="G4" s="1" t="b">
        <v>0</v>
      </c>
      <c r="H4" s="1" t="b">
        <v>0</v>
      </c>
      <c r="J4" s="1" t="s">
        <v>116</v>
      </c>
    </row>
    <row r="5" spans="1:10" s="1" customFormat="1">
      <c r="A5" s="1">
        <v>5</v>
      </c>
      <c r="B5" s="1" t="s">
        <v>104</v>
      </c>
      <c r="C5" s="1">
        <v>2</v>
      </c>
      <c r="D5" s="1">
        <v>0</v>
      </c>
      <c r="E5" s="1" t="b">
        <v>1</v>
      </c>
      <c r="F5" s="1" t="b">
        <v>0</v>
      </c>
      <c r="G5" s="1" t="b">
        <v>1</v>
      </c>
      <c r="H5" s="1" t="b">
        <v>0</v>
      </c>
      <c r="J5" s="1" t="s">
        <v>118</v>
      </c>
    </row>
    <row r="6" spans="1:10" s="1" customFormat="1">
      <c r="A6" s="1">
        <v>6</v>
      </c>
      <c r="B6" s="1" t="s">
        <v>8</v>
      </c>
      <c r="C6" s="1">
        <v>3</v>
      </c>
      <c r="D6" s="1">
        <v>0</v>
      </c>
      <c r="E6" s="1" t="b">
        <v>1</v>
      </c>
      <c r="F6" s="1" t="b">
        <v>0</v>
      </c>
      <c r="G6" s="1" t="b">
        <v>1</v>
      </c>
      <c r="H6" s="1" t="b">
        <v>0</v>
      </c>
      <c r="J6" s="1" t="s">
        <v>119</v>
      </c>
    </row>
    <row r="7" spans="1:10" s="1" customFormat="1">
      <c r="A7" s="1">
        <v>7</v>
      </c>
      <c r="B7" s="1" t="s">
        <v>88</v>
      </c>
      <c r="C7" s="1">
        <v>2</v>
      </c>
      <c r="D7" s="1">
        <v>0</v>
      </c>
      <c r="E7" s="1" t="b">
        <v>1</v>
      </c>
      <c r="F7" s="1" t="b">
        <v>0</v>
      </c>
      <c r="G7" s="1" t="b">
        <v>1</v>
      </c>
      <c r="H7" s="1" t="b">
        <v>0</v>
      </c>
      <c r="J7" s="1" t="s">
        <v>120</v>
      </c>
    </row>
    <row r="8" spans="1:10" s="1" customFormat="1">
      <c r="A8" s="1">
        <v>8</v>
      </c>
      <c r="B8" s="10" t="s">
        <v>9</v>
      </c>
      <c r="C8" s="1">
        <v>2</v>
      </c>
      <c r="D8" s="1">
        <v>0</v>
      </c>
      <c r="E8" s="1" t="b">
        <v>1</v>
      </c>
      <c r="F8" s="1" t="b">
        <v>0</v>
      </c>
      <c r="G8" s="1" t="b">
        <v>1</v>
      </c>
      <c r="H8" s="1" t="b">
        <v>0</v>
      </c>
      <c r="J8" s="1" t="s">
        <v>121</v>
      </c>
    </row>
    <row r="9" spans="1:10" s="1" customFormat="1">
      <c r="A9" s="1">
        <v>9</v>
      </c>
      <c r="B9" s="1" t="s">
        <v>10</v>
      </c>
      <c r="C9" s="1">
        <v>0</v>
      </c>
      <c r="D9" s="1">
        <v>0</v>
      </c>
      <c r="E9" s="1" t="b">
        <v>1</v>
      </c>
      <c r="F9" s="1" t="b">
        <v>1</v>
      </c>
      <c r="G9" s="1" t="b">
        <v>0</v>
      </c>
      <c r="H9" s="1" t="b">
        <v>0</v>
      </c>
      <c r="J9" s="1" t="s">
        <v>122</v>
      </c>
    </row>
    <row r="10" spans="1:10" s="1" customFormat="1">
      <c r="A10" s="1">
        <v>10</v>
      </c>
      <c r="B10" s="1" t="s">
        <v>80</v>
      </c>
      <c r="C10" s="1">
        <v>1</v>
      </c>
      <c r="D10" s="1">
        <v>0</v>
      </c>
      <c r="E10" s="1" t="b">
        <v>1</v>
      </c>
      <c r="F10" s="1" t="b">
        <v>1</v>
      </c>
      <c r="G10" s="1" t="b">
        <v>0</v>
      </c>
      <c r="H10" s="1" t="b">
        <v>0</v>
      </c>
      <c r="J10" s="1" t="s">
        <v>117</v>
      </c>
    </row>
    <row r="11" spans="1:10" s="1" customFormat="1">
      <c r="A11" s="1">
        <v>11</v>
      </c>
      <c r="B11" s="1" t="s">
        <v>89</v>
      </c>
      <c r="C11" s="1">
        <v>1</v>
      </c>
      <c r="D11" s="1">
        <v>0</v>
      </c>
      <c r="E11" s="1" t="b">
        <v>1</v>
      </c>
      <c r="F11" s="1" t="b">
        <v>0</v>
      </c>
      <c r="G11" s="1" t="b">
        <v>1</v>
      </c>
      <c r="H11" s="1" t="b">
        <v>0</v>
      </c>
      <c r="J11" s="1" t="s">
        <v>120</v>
      </c>
    </row>
    <row r="12" spans="1:10" s="1" customFormat="1">
      <c r="A12" s="1">
        <v>14</v>
      </c>
      <c r="B12" s="1" t="s">
        <v>76</v>
      </c>
      <c r="C12" s="1">
        <v>0</v>
      </c>
      <c r="D12" s="1">
        <v>0</v>
      </c>
      <c r="E12" s="1" t="b">
        <v>0</v>
      </c>
      <c r="F12" s="1" t="b">
        <v>1</v>
      </c>
      <c r="G12" s="1" t="b">
        <v>0</v>
      </c>
      <c r="H12" s="1" t="b">
        <v>1</v>
      </c>
    </row>
    <row r="13" spans="1:10" s="1" customFormat="1">
      <c r="A13" s="1">
        <v>15</v>
      </c>
      <c r="B13" s="1" t="s">
        <v>101</v>
      </c>
      <c r="C13" s="1">
        <v>2</v>
      </c>
      <c r="D13" s="1">
        <v>1</v>
      </c>
      <c r="E13" s="1" t="b">
        <v>0</v>
      </c>
      <c r="F13" s="1" t="b">
        <v>1</v>
      </c>
      <c r="G13" s="1" t="b">
        <v>0</v>
      </c>
      <c r="H13" s="1" t="b">
        <v>0</v>
      </c>
      <c r="J13" s="1" t="s">
        <v>123</v>
      </c>
    </row>
    <row r="14" spans="1:10" s="1" customFormat="1">
      <c r="A14" s="1">
        <v>18</v>
      </c>
      <c r="B14" s="1" t="s">
        <v>11</v>
      </c>
      <c r="C14" s="1">
        <v>1</v>
      </c>
      <c r="D14" s="1">
        <v>1</v>
      </c>
      <c r="E14" s="1" t="b">
        <v>0</v>
      </c>
      <c r="F14" s="1" t="b">
        <v>1</v>
      </c>
      <c r="G14" s="1" t="b">
        <v>0</v>
      </c>
      <c r="H14" s="1" t="b">
        <v>0</v>
      </c>
      <c r="J14" s="1" t="s">
        <v>124</v>
      </c>
    </row>
    <row r="15" spans="1:10" s="1" customFormat="1">
      <c r="A15" s="1">
        <v>20</v>
      </c>
      <c r="B15" s="1" t="s">
        <v>12</v>
      </c>
      <c r="C15" s="1">
        <v>3</v>
      </c>
      <c r="D15" s="1">
        <v>1</v>
      </c>
      <c r="E15" s="1" t="b">
        <v>0</v>
      </c>
      <c r="F15" s="1" t="b">
        <v>1</v>
      </c>
      <c r="G15" s="1" t="b">
        <v>0</v>
      </c>
      <c r="H15" s="1" t="b">
        <v>0</v>
      </c>
      <c r="J15" s="1" t="s">
        <v>125</v>
      </c>
    </row>
    <row r="16" spans="1:10">
      <c r="A16">
        <v>25</v>
      </c>
      <c r="B16" t="s">
        <v>13</v>
      </c>
      <c r="C16">
        <v>3</v>
      </c>
      <c r="D16">
        <v>2</v>
      </c>
      <c r="E16" t="b">
        <v>0</v>
      </c>
      <c r="F16" t="b">
        <v>1</v>
      </c>
      <c r="G16" t="b">
        <v>0</v>
      </c>
      <c r="H16" t="b">
        <v>0</v>
      </c>
    </row>
    <row r="17" spans="1:10" s="1" customFormat="1">
      <c r="A17" s="1">
        <v>26</v>
      </c>
      <c r="B17" s="1" t="s">
        <v>105</v>
      </c>
      <c r="C17" s="1">
        <v>3</v>
      </c>
      <c r="D17" s="1">
        <v>1</v>
      </c>
      <c r="E17" s="1" t="b">
        <v>1</v>
      </c>
      <c r="F17" s="1" t="b">
        <v>1</v>
      </c>
      <c r="G17" s="1" t="b">
        <v>0</v>
      </c>
      <c r="H17" s="1" t="b">
        <v>0</v>
      </c>
      <c r="J17" s="1" t="s">
        <v>123</v>
      </c>
    </row>
    <row r="18" spans="1:10" s="1" customFormat="1">
      <c r="A18" s="1">
        <v>27</v>
      </c>
      <c r="B18" s="1" t="s">
        <v>14</v>
      </c>
      <c r="C18" s="1">
        <v>3</v>
      </c>
      <c r="D18" s="1">
        <v>1</v>
      </c>
      <c r="E18" s="1" t="b">
        <v>1</v>
      </c>
      <c r="F18" s="1" t="b">
        <v>1</v>
      </c>
      <c r="G18" s="1" t="b">
        <v>0</v>
      </c>
      <c r="H18" s="1" t="b">
        <v>0</v>
      </c>
      <c r="J18" s="1" t="s">
        <v>125</v>
      </c>
    </row>
    <row r="19" spans="1:10">
      <c r="A19">
        <v>31</v>
      </c>
      <c r="B19" t="s">
        <v>15</v>
      </c>
      <c r="C19">
        <v>3</v>
      </c>
      <c r="D19">
        <v>2</v>
      </c>
      <c r="E19" t="b">
        <v>0</v>
      </c>
      <c r="F19" t="b">
        <v>1</v>
      </c>
      <c r="G19" t="b">
        <v>0</v>
      </c>
      <c r="H19" t="b">
        <v>0</v>
      </c>
    </row>
    <row r="20" spans="1:10">
      <c r="A20">
        <v>33</v>
      </c>
      <c r="B20" t="s">
        <v>16</v>
      </c>
      <c r="C20">
        <v>1</v>
      </c>
      <c r="D20">
        <v>1</v>
      </c>
      <c r="E20" t="b">
        <v>0</v>
      </c>
      <c r="F20" t="b">
        <v>1</v>
      </c>
      <c r="G20" t="b">
        <v>0</v>
      </c>
      <c r="H20" t="b">
        <v>0</v>
      </c>
    </row>
    <row r="21" spans="1:10">
      <c r="A21">
        <v>34</v>
      </c>
      <c r="B21" t="s">
        <v>17</v>
      </c>
      <c r="C21">
        <v>3</v>
      </c>
      <c r="D21">
        <v>2</v>
      </c>
      <c r="E21" t="b">
        <v>0</v>
      </c>
      <c r="F21" t="b">
        <v>1</v>
      </c>
      <c r="G21" t="b">
        <v>0</v>
      </c>
      <c r="H21" t="b">
        <v>0</v>
      </c>
    </row>
    <row r="22" spans="1:10" s="1" customFormat="1">
      <c r="A22" s="1">
        <v>35</v>
      </c>
      <c r="B22" s="1" t="s">
        <v>65</v>
      </c>
      <c r="C22" s="1">
        <v>0</v>
      </c>
      <c r="D22" s="1">
        <v>0</v>
      </c>
      <c r="E22" s="1" t="b">
        <v>0</v>
      </c>
      <c r="F22" s="1" t="b">
        <v>1</v>
      </c>
      <c r="G22" s="1" t="b">
        <v>0</v>
      </c>
      <c r="H22" s="1" t="b">
        <v>0</v>
      </c>
      <c r="I22" s="1" t="s">
        <v>34</v>
      </c>
    </row>
    <row r="23" spans="1:10">
      <c r="A23">
        <v>36</v>
      </c>
      <c r="B23" t="s">
        <v>77</v>
      </c>
      <c r="C23">
        <v>2</v>
      </c>
      <c r="D23">
        <v>1</v>
      </c>
      <c r="E23" t="b">
        <v>0</v>
      </c>
      <c r="F23" t="b">
        <v>1</v>
      </c>
      <c r="G23" t="b">
        <v>0</v>
      </c>
      <c r="H23" t="b">
        <v>0</v>
      </c>
      <c r="I23" t="s">
        <v>69</v>
      </c>
      <c r="J23" t="str">
        <f t="shared" ref="J22:J28" si="0">CONCATENATE("walking","_","Tx",A23)</f>
        <v>walking_Tx36</v>
      </c>
    </row>
    <row r="24" spans="1:10">
      <c r="A24">
        <v>37</v>
      </c>
      <c r="B24" t="s">
        <v>78</v>
      </c>
      <c r="C24">
        <v>1</v>
      </c>
      <c r="D24">
        <v>1</v>
      </c>
      <c r="E24" t="b">
        <v>0</v>
      </c>
      <c r="F24" t="b">
        <v>1</v>
      </c>
      <c r="G24" t="b">
        <v>0</v>
      </c>
      <c r="H24" t="b">
        <v>0</v>
      </c>
      <c r="I24" t="s">
        <v>69</v>
      </c>
      <c r="J24" t="str">
        <f t="shared" si="0"/>
        <v>walking_Tx37</v>
      </c>
    </row>
    <row r="25" spans="1:10">
      <c r="A25">
        <v>38</v>
      </c>
      <c r="B25" t="s">
        <v>79</v>
      </c>
      <c r="C25">
        <v>1</v>
      </c>
      <c r="D25">
        <v>2</v>
      </c>
      <c r="E25" t="b">
        <v>0</v>
      </c>
      <c r="F25" t="b">
        <v>1</v>
      </c>
      <c r="G25" t="b">
        <v>0</v>
      </c>
      <c r="H25" t="b">
        <v>0</v>
      </c>
      <c r="I25" t="s">
        <v>69</v>
      </c>
      <c r="J25" t="str">
        <f t="shared" si="0"/>
        <v>walking_Tx38</v>
      </c>
    </row>
    <row r="26" spans="1:10" s="1" customFormat="1">
      <c r="A26" s="1">
        <v>39</v>
      </c>
      <c r="B26" s="1" t="s">
        <v>82</v>
      </c>
      <c r="C26" s="1">
        <v>1</v>
      </c>
      <c r="D26" s="1">
        <v>2</v>
      </c>
      <c r="E26" s="1" t="b">
        <v>0</v>
      </c>
      <c r="F26" s="1" t="b">
        <v>0</v>
      </c>
      <c r="G26" s="1" t="b">
        <v>0</v>
      </c>
      <c r="H26" s="1" t="b">
        <v>0</v>
      </c>
      <c r="J26" s="1" t="s">
        <v>126</v>
      </c>
    </row>
    <row r="27" spans="1:10" s="1" customFormat="1">
      <c r="A27" s="1">
        <v>40</v>
      </c>
      <c r="B27" s="1" t="s">
        <v>83</v>
      </c>
      <c r="C27" s="1">
        <v>2</v>
      </c>
      <c r="D27" s="1">
        <v>2</v>
      </c>
      <c r="E27" s="1" t="b">
        <v>1</v>
      </c>
      <c r="F27" s="1" t="b">
        <v>1</v>
      </c>
      <c r="G27" s="1" t="b">
        <v>0</v>
      </c>
      <c r="H27" s="1" t="b">
        <v>0</v>
      </c>
      <c r="J27" s="1" t="s">
        <v>127</v>
      </c>
    </row>
    <row r="28" spans="1:10" s="1" customFormat="1">
      <c r="A28" s="1">
        <v>41</v>
      </c>
      <c r="B28" s="1" t="s">
        <v>98</v>
      </c>
      <c r="C28" s="1">
        <v>3</v>
      </c>
      <c r="D28" s="1">
        <v>0</v>
      </c>
      <c r="E28" s="1" t="b">
        <v>1</v>
      </c>
      <c r="F28" s="1" t="b">
        <v>1</v>
      </c>
      <c r="G28" s="1" t="b">
        <v>0</v>
      </c>
      <c r="H28" s="1" t="b">
        <v>0</v>
      </c>
      <c r="J28" s="1" t="s">
        <v>123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4"/>
  <sheetViews>
    <sheetView workbookViewId="0">
      <selection activeCell="B6" sqref="B6"/>
    </sheetView>
  </sheetViews>
  <sheetFormatPr defaultColWidth="8.69921875" defaultRowHeight="15.6"/>
  <cols>
    <col min="2" max="2" width="85.69921875" customWidth="1"/>
  </cols>
  <sheetData>
    <row r="1" spans="1:3">
      <c r="A1" t="s">
        <v>0</v>
      </c>
      <c r="B1" t="s">
        <v>1</v>
      </c>
      <c r="C1" t="s">
        <v>18</v>
      </c>
    </row>
    <row r="2" spans="1:3">
      <c r="A2">
        <v>2</v>
      </c>
      <c r="B2" t="s">
        <v>19</v>
      </c>
      <c r="C2" t="s">
        <v>93</v>
      </c>
    </row>
    <row r="3" spans="1:3">
      <c r="A3">
        <v>3</v>
      </c>
      <c r="B3" t="s">
        <v>20</v>
      </c>
      <c r="C3" t="s">
        <v>94</v>
      </c>
    </row>
    <row r="4" spans="1:3">
      <c r="A4">
        <v>5</v>
      </c>
      <c r="B4" t="s">
        <v>21</v>
      </c>
      <c r="C4" t="s">
        <v>96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A12"/>
  <sheetViews>
    <sheetView workbookViewId="0">
      <selection activeCell="C2" sqref="C2"/>
    </sheetView>
  </sheetViews>
  <sheetFormatPr defaultColWidth="8.69921875" defaultRowHeight="15.6"/>
  <cols>
    <col min="2" max="2" width="74" customWidth="1"/>
    <col min="3" max="3" width="20" customWidth="1"/>
    <col min="4" max="4" width="17.5" customWidth="1"/>
    <col min="5" max="5" width="37" customWidth="1"/>
  </cols>
  <sheetData>
    <row r="1" spans="1:235">
      <c r="A1" t="s">
        <v>0</v>
      </c>
      <c r="B1" t="s">
        <v>22</v>
      </c>
      <c r="C1" t="s">
        <v>23</v>
      </c>
      <c r="D1" t="s">
        <v>24</v>
      </c>
      <c r="E1" t="s">
        <v>25</v>
      </c>
      <c r="F1" t="s">
        <v>26</v>
      </c>
    </row>
    <row r="2" spans="1:235" s="2" customFormat="1">
      <c r="A2">
        <v>2</v>
      </c>
      <c r="B2" t="s">
        <v>106</v>
      </c>
      <c r="C2" t="s">
        <v>100</v>
      </c>
      <c r="D2" t="s">
        <v>113</v>
      </c>
      <c r="E2" t="s">
        <v>27</v>
      </c>
      <c r="F2" t="s">
        <v>28</v>
      </c>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row>
    <row r="3" spans="1:235" s="2" customFormat="1">
      <c r="A3">
        <v>3</v>
      </c>
      <c r="B3" t="s">
        <v>70</v>
      </c>
      <c r="C3" t="s">
        <v>29</v>
      </c>
      <c r="D3" t="s">
        <v>30</v>
      </c>
      <c r="E3" t="s">
        <v>27</v>
      </c>
      <c r="F3" t="s">
        <v>31</v>
      </c>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row>
    <row r="4" spans="1:235" s="2" customFormat="1">
      <c r="A4">
        <v>4</v>
      </c>
      <c r="B4" t="s">
        <v>71</v>
      </c>
      <c r="C4" t="s">
        <v>32</v>
      </c>
      <c r="D4" t="s">
        <v>33</v>
      </c>
      <c r="E4" t="s">
        <v>27</v>
      </c>
      <c r="F4" t="s">
        <v>31</v>
      </c>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row>
    <row r="5" spans="1:235" s="2" customFormat="1">
      <c r="A5">
        <v>5</v>
      </c>
      <c r="B5" t="s">
        <v>72</v>
      </c>
      <c r="C5" t="s">
        <v>68</v>
      </c>
      <c r="D5" t="s">
        <v>35</v>
      </c>
      <c r="E5" t="s">
        <v>27</v>
      </c>
      <c r="F5" t="s">
        <v>36</v>
      </c>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row>
    <row r="6" spans="1:235" s="2" customFormat="1">
      <c r="A6">
        <v>6</v>
      </c>
      <c r="B6" t="s">
        <v>84</v>
      </c>
      <c r="C6" t="s">
        <v>46</v>
      </c>
      <c r="D6" t="s">
        <v>37</v>
      </c>
      <c r="E6" t="s">
        <v>27</v>
      </c>
      <c r="F6" t="s">
        <v>38</v>
      </c>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row>
    <row r="7" spans="1:235" s="2" customFormat="1">
      <c r="A7">
        <v>7</v>
      </c>
      <c r="B7" t="s">
        <v>73</v>
      </c>
      <c r="C7" t="s">
        <v>85</v>
      </c>
      <c r="D7" t="s">
        <v>114</v>
      </c>
      <c r="E7" t="s">
        <v>40</v>
      </c>
      <c r="F7" t="s">
        <v>28</v>
      </c>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row>
    <row r="8" spans="1:235" s="2" customFormat="1">
      <c r="A8">
        <v>8</v>
      </c>
      <c r="B8" t="s">
        <v>87</v>
      </c>
      <c r="C8" t="s">
        <v>90</v>
      </c>
      <c r="D8" t="s">
        <v>41</v>
      </c>
      <c r="E8" t="s">
        <v>40</v>
      </c>
      <c r="F8" t="s">
        <v>31</v>
      </c>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row>
    <row r="9" spans="1:235" s="2" customFormat="1">
      <c r="A9">
        <v>9</v>
      </c>
      <c r="B9" t="s">
        <v>74</v>
      </c>
      <c r="C9" t="s">
        <v>68</v>
      </c>
      <c r="D9" t="s">
        <v>42</v>
      </c>
      <c r="E9" t="s">
        <v>40</v>
      </c>
      <c r="F9" t="s">
        <v>36</v>
      </c>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row>
    <row r="10" spans="1:235" s="2" customFormat="1">
      <c r="A10">
        <v>10</v>
      </c>
      <c r="B10" t="s">
        <v>75</v>
      </c>
      <c r="C10" t="s">
        <v>95</v>
      </c>
      <c r="D10" t="s">
        <v>115</v>
      </c>
      <c r="E10" t="s">
        <v>43</v>
      </c>
      <c r="F10" t="s">
        <v>28</v>
      </c>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row>
    <row r="11" spans="1:235" s="2" customFormat="1">
      <c r="A11">
        <v>22</v>
      </c>
      <c r="B11" t="s">
        <v>97</v>
      </c>
      <c r="C11" t="s">
        <v>99</v>
      </c>
      <c r="D11" t="s">
        <v>45</v>
      </c>
      <c r="E11" t="s">
        <v>27</v>
      </c>
      <c r="F11" t="s">
        <v>112</v>
      </c>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row>
    <row r="12" spans="1:235">
      <c r="A12">
        <v>30</v>
      </c>
      <c r="B12" t="s">
        <v>81</v>
      </c>
      <c r="C12" t="s">
        <v>91</v>
      </c>
      <c r="D12" t="s">
        <v>92</v>
      </c>
      <c r="E12" t="s">
        <v>44</v>
      </c>
      <c r="F12" t="s">
        <v>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34"/>
  <sheetViews>
    <sheetView zoomScale="107" zoomScaleNormal="107" workbookViewId="0">
      <selection activeCell="C3" sqref="C3"/>
    </sheetView>
  </sheetViews>
  <sheetFormatPr defaultColWidth="8.69921875" defaultRowHeight="15.6"/>
  <cols>
    <col min="1" max="1" width="20.69921875" style="3" customWidth="1"/>
    <col min="2" max="2" width="30.69921875" style="3" customWidth="1"/>
    <col min="3" max="3" width="50.69921875" style="3" customWidth="1"/>
    <col min="10" max="10" width="24.69921875" style="4" bestFit="1" customWidth="1"/>
  </cols>
  <sheetData>
    <row r="1" spans="1:10">
      <c r="A1" s="3" t="s">
        <v>1</v>
      </c>
      <c r="J1" s="8"/>
    </row>
    <row r="2" spans="1:10" ht="93.6">
      <c r="A2" s="3" t="s">
        <v>19</v>
      </c>
      <c r="B2" s="3" t="s">
        <v>73</v>
      </c>
      <c r="C2" s="3" t="s">
        <v>86</v>
      </c>
      <c r="D2" t="s">
        <v>39</v>
      </c>
    </row>
    <row r="3" spans="1:10" ht="405.6">
      <c r="B3" s="3" t="s">
        <v>87</v>
      </c>
      <c r="C3" s="3" t="s">
        <v>108</v>
      </c>
      <c r="D3" t="s">
        <v>41</v>
      </c>
    </row>
    <row r="4" spans="1:10" ht="31.2">
      <c r="B4" s="3" t="s">
        <v>74</v>
      </c>
      <c r="C4" s="3" t="s">
        <v>65</v>
      </c>
    </row>
    <row r="5" spans="1:10" ht="62.4">
      <c r="B5" s="3" t="s">
        <v>81</v>
      </c>
      <c r="C5" s="3" t="s">
        <v>82</v>
      </c>
    </row>
    <row r="6" spans="1:10" ht="46.8">
      <c r="A6" s="3" t="s">
        <v>20</v>
      </c>
      <c r="B6" s="3" t="s">
        <v>75</v>
      </c>
      <c r="C6" s="3" t="s">
        <v>83</v>
      </c>
    </row>
    <row r="7" spans="1:10" ht="62.4">
      <c r="B7" s="3" t="s">
        <v>81</v>
      </c>
      <c r="C7" s="3" t="s">
        <v>82</v>
      </c>
    </row>
    <row r="8" spans="1:10" ht="234">
      <c r="A8" s="3" t="s">
        <v>21</v>
      </c>
      <c r="B8" s="3" t="s">
        <v>97</v>
      </c>
      <c r="C8" s="3" t="s">
        <v>109</v>
      </c>
      <c r="D8" t="s">
        <v>45</v>
      </c>
    </row>
    <row r="9" spans="1:10" ht="46.8">
      <c r="B9" s="5" t="s">
        <v>106</v>
      </c>
      <c r="C9" s="5" t="s">
        <v>101</v>
      </c>
    </row>
    <row r="10" spans="1:10" ht="409.6">
      <c r="B10" s="3" t="s">
        <v>70</v>
      </c>
      <c r="C10" s="3" t="s">
        <v>111</v>
      </c>
      <c r="D10" t="s">
        <v>30</v>
      </c>
    </row>
    <row r="11" spans="1:10" ht="390">
      <c r="B11" s="3" t="s">
        <v>71</v>
      </c>
      <c r="C11" s="3" t="s">
        <v>110</v>
      </c>
      <c r="D11" t="s">
        <v>33</v>
      </c>
    </row>
    <row r="12" spans="1:10" ht="31.2">
      <c r="B12" s="3" t="s">
        <v>72</v>
      </c>
      <c r="C12" s="5" t="s">
        <v>65</v>
      </c>
    </row>
    <row r="13" spans="1:10" ht="78">
      <c r="B13" s="3" t="s">
        <v>84</v>
      </c>
      <c r="C13" s="3" t="s">
        <v>76</v>
      </c>
    </row>
    <row r="18" spans="1:13">
      <c r="A18" s="5"/>
      <c r="B18" s="5"/>
      <c r="C18" s="5"/>
      <c r="D18" s="6"/>
      <c r="E18" s="6"/>
      <c r="F18" s="6"/>
      <c r="G18" s="6"/>
      <c r="H18" s="6"/>
      <c r="I18" s="6"/>
      <c r="J18" s="9"/>
      <c r="K18" s="6"/>
      <c r="L18" s="6"/>
      <c r="M18" s="6"/>
    </row>
    <row r="19" spans="1:13">
      <c r="A19" s="5"/>
      <c r="B19" s="5"/>
      <c r="C19" s="5"/>
      <c r="D19" s="6"/>
      <c r="E19" s="6"/>
      <c r="F19" s="6"/>
      <c r="G19" s="6"/>
      <c r="H19" s="6"/>
      <c r="I19" s="6"/>
      <c r="J19" s="9"/>
      <c r="K19" s="6"/>
      <c r="L19" s="6"/>
      <c r="M19" s="6"/>
    </row>
    <row r="20" spans="1:13">
      <c r="A20" s="5"/>
      <c r="B20" s="5"/>
      <c r="C20" s="5"/>
      <c r="D20" s="6"/>
      <c r="E20" s="6"/>
      <c r="F20" s="6"/>
      <c r="G20" s="6"/>
      <c r="H20" s="6"/>
      <c r="I20" s="6"/>
      <c r="J20" s="9"/>
      <c r="K20" s="6"/>
      <c r="L20" s="6"/>
      <c r="M20" s="6"/>
    </row>
    <row r="21" spans="1:13">
      <c r="A21" s="5"/>
      <c r="B21" s="5"/>
      <c r="C21" s="5"/>
      <c r="D21" s="6"/>
      <c r="E21" s="6"/>
      <c r="F21" s="6"/>
      <c r="G21" s="6"/>
      <c r="H21" s="6"/>
      <c r="I21" s="6"/>
      <c r="J21" s="9"/>
      <c r="K21" s="6"/>
      <c r="L21" s="6"/>
      <c r="M21" s="6"/>
    </row>
    <row r="22" spans="1:13">
      <c r="A22" s="5"/>
      <c r="B22" s="5"/>
      <c r="C22" s="5"/>
      <c r="D22" s="6"/>
      <c r="E22" s="6"/>
      <c r="F22" s="6"/>
      <c r="G22" s="6"/>
      <c r="H22" s="6"/>
      <c r="I22" s="6"/>
      <c r="J22" s="9"/>
      <c r="K22" s="6"/>
      <c r="L22" s="6"/>
      <c r="M22" s="6"/>
    </row>
    <row r="23" spans="1:13">
      <c r="A23" s="5"/>
      <c r="B23" s="5"/>
      <c r="C23" s="5"/>
      <c r="D23" s="6"/>
      <c r="E23" s="6"/>
      <c r="F23" s="6"/>
      <c r="G23" s="6"/>
      <c r="H23" s="6"/>
      <c r="I23" s="6"/>
      <c r="J23" s="9"/>
      <c r="K23" s="6"/>
      <c r="L23" s="6"/>
      <c r="M23" s="6"/>
    </row>
    <row r="24" spans="1:13">
      <c r="A24" s="5"/>
      <c r="B24" s="5"/>
      <c r="C24" s="5"/>
      <c r="D24" s="6"/>
      <c r="E24" s="6"/>
      <c r="F24" s="6"/>
      <c r="G24" s="6"/>
      <c r="H24" s="6"/>
      <c r="I24" s="6"/>
      <c r="J24" s="9"/>
      <c r="K24" s="6"/>
      <c r="L24" s="6"/>
      <c r="M24" s="6"/>
    </row>
    <row r="25" spans="1:13">
      <c r="A25" s="5"/>
      <c r="B25" s="5"/>
      <c r="C25" s="5"/>
      <c r="D25" s="6"/>
      <c r="E25" s="6"/>
      <c r="F25" s="6"/>
      <c r="G25" s="6"/>
      <c r="H25" s="6"/>
      <c r="I25" s="6"/>
      <c r="J25" s="9"/>
      <c r="K25" s="6"/>
      <c r="L25" s="6"/>
      <c r="M25" s="6"/>
    </row>
    <row r="26" spans="1:13">
      <c r="A26" s="5"/>
      <c r="B26" s="5"/>
      <c r="C26" s="5"/>
      <c r="D26" s="6"/>
      <c r="E26" s="6"/>
      <c r="F26" s="6"/>
      <c r="G26" s="6"/>
      <c r="H26" s="6"/>
      <c r="I26" s="6"/>
      <c r="J26" s="9"/>
      <c r="K26" s="6"/>
      <c r="L26" s="6"/>
      <c r="M26" s="6"/>
    </row>
    <row r="27" spans="1:13">
      <c r="A27" s="5"/>
      <c r="B27" s="5"/>
      <c r="C27" s="5"/>
      <c r="D27" s="6"/>
      <c r="E27" s="6"/>
      <c r="F27" s="6"/>
      <c r="G27" s="6"/>
      <c r="H27" s="6"/>
      <c r="I27" s="6"/>
      <c r="J27" s="9"/>
      <c r="K27" s="6"/>
      <c r="L27" s="6"/>
      <c r="M27" s="6"/>
    </row>
    <row r="34" spans="2:2">
      <c r="B34" s="7"/>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20"/>
  <sheetViews>
    <sheetView workbookViewId="0">
      <selection activeCell="A7" sqref="A7"/>
    </sheetView>
  </sheetViews>
  <sheetFormatPr defaultColWidth="8.69921875" defaultRowHeight="15.6"/>
  <cols>
    <col min="1" max="1" width="88.69921875" customWidth="1"/>
  </cols>
  <sheetData>
    <row r="1" spans="1:1">
      <c r="A1" t="s">
        <v>47</v>
      </c>
    </row>
    <row r="2" spans="1:1">
      <c r="A2" t="s">
        <v>48</v>
      </c>
    </row>
    <row r="3" spans="1:1">
      <c r="A3" t="s">
        <v>49</v>
      </c>
    </row>
    <row r="5" spans="1:1">
      <c r="A5" t="s">
        <v>50</v>
      </c>
    </row>
    <row r="6" spans="1:1">
      <c r="A6" t="s">
        <v>51</v>
      </c>
    </row>
    <row r="7" spans="1:1">
      <c r="A7" t="s">
        <v>52</v>
      </c>
    </row>
    <row r="8" spans="1:1">
      <c r="A8" t="s">
        <v>53</v>
      </c>
    </row>
    <row r="9" spans="1:1">
      <c r="A9" s="1" t="s">
        <v>54</v>
      </c>
    </row>
    <row r="10" spans="1:1">
      <c r="A10" s="1" t="s">
        <v>55</v>
      </c>
    </row>
    <row r="11" spans="1:1">
      <c r="A11" s="1" t="s">
        <v>56</v>
      </c>
    </row>
    <row r="12" spans="1:1">
      <c r="A12" s="1" t="s">
        <v>7</v>
      </c>
    </row>
    <row r="13" spans="1:1">
      <c r="A13" s="1" t="s">
        <v>57</v>
      </c>
    </row>
    <row r="14" spans="1:1">
      <c r="A14" s="1" t="s">
        <v>58</v>
      </c>
    </row>
    <row r="15" spans="1:1">
      <c r="A15" s="1" t="s">
        <v>59</v>
      </c>
    </row>
    <row r="16" spans="1:1">
      <c r="A16" s="1" t="s">
        <v>60</v>
      </c>
    </row>
    <row r="17" spans="1:1">
      <c r="A17" s="1" t="s">
        <v>61</v>
      </c>
    </row>
    <row r="18" spans="1:1">
      <c r="A18" s="1" t="s">
        <v>62</v>
      </c>
    </row>
    <row r="19" spans="1:1">
      <c r="A19" s="1" t="s">
        <v>63</v>
      </c>
    </row>
    <row r="20" spans="1:1">
      <c r="A20" s="1" t="s">
        <v>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treatments</vt:lpstr>
      <vt:lpstr>kinematic_deviations</vt:lpstr>
      <vt:lpstr>impairments</vt:lpstr>
      <vt:lpstr>table</vt:lpstr>
      <vt:lpstr>Keys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wan</dc:creator>
  <cp:keywords/>
  <dc:description/>
  <cp:lastModifiedBy>Joshua Wan</cp:lastModifiedBy>
  <cp:revision/>
  <dcterms:created xsi:type="dcterms:W3CDTF">2023-12-26T19:58:21Z</dcterms:created>
  <dcterms:modified xsi:type="dcterms:W3CDTF">2024-05-16T13:16:52Z</dcterms:modified>
  <cp:category/>
  <cp:contentStatus/>
</cp:coreProperties>
</file>